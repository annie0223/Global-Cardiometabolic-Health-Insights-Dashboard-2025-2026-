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8B39F0-3928-4E20-A0E4-00309C3522F4}" xr6:coauthVersionLast="47" xr6:coauthVersionMax="47" xr10:uidLastSave="{00000000-0000-0000-0000-000000000000}"/>
  <bookViews>
    <workbookView xWindow="-120" yWindow="-120" windowWidth="20730" windowHeight="11160" firstSheet="1" activeTab="2" xr2:uid="{1E044AD4-441A-4528-BC5E-86424FD0AEF8}"/>
  </bookViews>
  <sheets>
    <sheet name="kantesti_global_health_insights" sheetId="1" r:id="rId1"/>
    <sheet name="health" sheetId="2" r:id="rId2"/>
    <sheet name="table" sheetId="3" r:id="rId3"/>
    <sheet name="dashboard" sheetId="4" r:id="rId4"/>
  </sheets>
  <definedNames>
    <definedName name="ExternalData_1" localSheetId="1" hidden="1">health!$A$1:$AE$131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3" l="1" a="1"/>
  <c r="A86" i="3" s="1"/>
  <c r="L19" i="3" a="1"/>
  <c r="L19" i="3" s="1"/>
  <c r="D62" i="3" a="1"/>
  <c r="D62" i="3" s="1"/>
  <c r="A56" i="3" a="1"/>
  <c r="A56" i="3" s="1"/>
  <c r="B16" i="3"/>
  <c r="B12" i="3"/>
  <c r="B15" i="3"/>
  <c r="B14" i="3"/>
  <c r="B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1BECE-84F1-4C11-A927-59377DD308D5}" keepAlive="1" name="Query - health" description="Connection to the 'health' query in the workbook." type="5" refreshedVersion="8" background="1" saveData="1">
    <dbPr connection="Provider=Microsoft.Mashup.OleDb.1;Data Source=$Workbook$;Location=health;Extended Properties=&quot;&quot;" command="SELECT * FROM [healt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<sst xmlns="http://schemas.openxmlformats.org/spreadsheetml/2006/main" count="1734" uniqueCount="152">
  <si>
    <t>country_code</t>
  </si>
  <si>
    <t>country_name</t>
  </si>
  <si>
    <t>region</t>
  </si>
  <si>
    <t>sub_region</t>
  </si>
  <si>
    <t>year</t>
  </si>
  <si>
    <t>month</t>
  </si>
  <si>
    <t>period</t>
  </si>
  <si>
    <t>monthly_analyses</t>
  </si>
  <si>
    <t>cumulative_analyses</t>
  </si>
  <si>
    <t>unique_users</t>
  </si>
  <si>
    <t>repeat_user_rate</t>
  </si>
  <si>
    <t>avg_biomarkers_per_test</t>
  </si>
  <si>
    <t>condition_healthy_pct</t>
  </si>
  <si>
    <t>condition_cardiovascular_pct</t>
  </si>
  <si>
    <t>condition_diabetes_pct</t>
  </si>
  <si>
    <t>condition_metabolic_syndrome_pct</t>
  </si>
  <si>
    <t>condition_anemia_pct</t>
  </si>
  <si>
    <t>condition_thyroid_pct</t>
  </si>
  <si>
    <t>condition_vitamin_d_deficiency_pct</t>
  </si>
  <si>
    <t>condition_vitamin_b12_deficiency_pct</t>
  </si>
  <si>
    <t>condition_liver_pct</t>
  </si>
  <si>
    <t>condition_kidney_pct</t>
  </si>
  <si>
    <t>condition_inflammation_pct</t>
  </si>
  <si>
    <t>risk_optimal_pct</t>
  </si>
  <si>
    <t>risk_normal_pct</t>
  </si>
  <si>
    <t>risk_attention_pct</t>
  </si>
  <si>
    <t>risk_elevated_pct</t>
  </si>
  <si>
    <t>risk_critical_pct</t>
  </si>
  <si>
    <t>age_18_29_pct</t>
  </si>
  <si>
    <t>age_30_44_pct</t>
  </si>
  <si>
    <t>age_45_59_pct</t>
  </si>
  <si>
    <t>age_60_plus_pct</t>
  </si>
  <si>
    <t>gender_male_pct</t>
  </si>
  <si>
    <t>gender_female_pct</t>
  </si>
  <si>
    <t>mobile_usage_pct</t>
  </si>
  <si>
    <t>web_usage_pct</t>
  </si>
  <si>
    <t>avg_report_pages</t>
  </si>
  <si>
    <t>nutrition_plan_requested_pct</t>
  </si>
  <si>
    <t>supplement_rec_requested_pct</t>
  </si>
  <si>
    <t>primary_language</t>
  </si>
  <si>
    <t>avg_health_score</t>
  </si>
  <si>
    <t>avg_cardiovascular_risk_score</t>
  </si>
  <si>
    <t>avg_metabolic_risk_score</t>
  </si>
  <si>
    <t>avg_nutrient_score</t>
  </si>
  <si>
    <t>top_abnormal_biomarker_1</t>
  </si>
  <si>
    <t>top_abnormal_biomarker_2</t>
  </si>
  <si>
    <t>top_abnormal_biomarker_3</t>
  </si>
  <si>
    <t>avg_biomarkers_out_of_range</t>
  </si>
  <si>
    <t>biomarker_abnormal_rate</t>
  </si>
  <si>
    <t>BE</t>
  </si>
  <si>
    <t>Belgium</t>
  </si>
  <si>
    <t>Europe</t>
  </si>
  <si>
    <t>Western Europe</t>
  </si>
  <si>
    <t>2025-01</t>
  </si>
  <si>
    <t>Dutch</t>
  </si>
  <si>
    <t>LDL Cholesterol</t>
  </si>
  <si>
    <t>Vitamin D</t>
  </si>
  <si>
    <t>CRP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</si>
  <si>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</si>
  <si>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</si>
  <si>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</si>
  <si>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</si>
  <si>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</si>
  <si>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</si>
  <si>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</si>
  <si>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</si>
  <si>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</si>
  <si>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</si>
  <si>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</si>
  <si>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</si>
  <si>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BR</t>
  </si>
  <si>
    <t>Brazil</t>
  </si>
  <si>
    <t>South America</t>
  </si>
  <si>
    <t>Portuguese</t>
  </si>
  <si>
    <t>Ferritin</t>
  </si>
  <si>
    <t>Iron</t>
  </si>
  <si>
    <t>HbA1c</t>
  </si>
  <si>
    <t>DE</t>
  </si>
  <si>
    <t>Germany</t>
  </si>
  <si>
    <t>German</t>
  </si>
  <si>
    <t>Homocysteine</t>
  </si>
  <si>
    <t>TSH</t>
  </si>
  <si>
    <t>ES</t>
  </si>
  <si>
    <t>Spain</t>
  </si>
  <si>
    <t>Southern Europe</t>
  </si>
  <si>
    <t>Spanish</t>
  </si>
  <si>
    <t>Uric Acid</t>
  </si>
  <si>
    <t>FR</t>
  </si>
  <si>
    <t>France</t>
  </si>
  <si>
    <t>French</t>
  </si>
  <si>
    <t>Vitamin B12</t>
  </si>
  <si>
    <t>GB</t>
  </si>
  <si>
    <t>United Kingdom</t>
  </si>
  <si>
    <t>Northern Europe</t>
  </si>
  <si>
    <t>English</t>
  </si>
  <si>
    <t>IT</t>
  </si>
  <si>
    <t>Italy</t>
  </si>
  <si>
    <t>Italian</t>
  </si>
  <si>
    <t>Creatinine</t>
  </si>
  <si>
    <t>NL</t>
  </si>
  <si>
    <t>Netherlands</t>
  </si>
  <si>
    <t>PT</t>
  </si>
  <si>
    <t>Portugal</t>
  </si>
  <si>
    <t>Sodium</t>
  </si>
  <si>
    <t>US</t>
  </si>
  <si>
    <t>United States</t>
  </si>
  <si>
    <t>North America</t>
  </si>
  <si>
    <t>Triglycerides</t>
  </si>
  <si>
    <t>Grand Total</t>
  </si>
  <si>
    <t>Region</t>
  </si>
  <si>
    <t>Total_monthly_analyses</t>
  </si>
  <si>
    <t>Average of avg_cardiovascular_risk_score</t>
  </si>
  <si>
    <t>Sum of biomarker_abnormal_rate</t>
  </si>
  <si>
    <t>Average of elevated_critical_risk</t>
  </si>
  <si>
    <t>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</si>
  <si>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</si>
  <si>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</si>
  <si>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</si>
  <si>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</si>
  <si>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</si>
  <si>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</si>
  <si>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</si>
  <si>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</si>
  <si>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</si>
  <si>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</si>
  <si>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</si>
  <si>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</si>
  <si>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Risk Distribution</t>
  </si>
  <si>
    <t>Reginal comparison</t>
  </si>
  <si>
    <t>Average of avg_metabolic_risk_score</t>
  </si>
  <si>
    <t>Average of condition_cardiovascular_pct</t>
  </si>
  <si>
    <t>Demographic Pivot</t>
  </si>
  <si>
    <t>Avg_metabolic_risk_score</t>
  </si>
  <si>
    <t>Male</t>
  </si>
  <si>
    <t>Female</t>
  </si>
  <si>
    <t>Average cardiovascular_Risk_Score</t>
  </si>
  <si>
    <t>Average Metabolic Risk Score</t>
  </si>
  <si>
    <t>biomarkers_per_test</t>
  </si>
  <si>
    <t>Total Cardiovascular Risk Score</t>
  </si>
  <si>
    <t>Total Metabolic Risk Score</t>
  </si>
  <si>
    <t>Average Normal Risk</t>
  </si>
  <si>
    <t>Average Risk Attention</t>
  </si>
  <si>
    <t xml:space="preserve">Average Optimal Risk </t>
  </si>
  <si>
    <t xml:space="preserve">Average Elevated Risk </t>
  </si>
  <si>
    <t>Average Critical Risk</t>
  </si>
  <si>
    <t>Age range 18-29</t>
  </si>
  <si>
    <t>Age range 30-40</t>
  </si>
  <si>
    <t>Age range 45-59</t>
  </si>
  <si>
    <t>Age range 60+</t>
  </si>
  <si>
    <t>Gender</t>
  </si>
  <si>
    <t>Age Group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</si>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</sst>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0" xfId="0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Age-Based Cardiometabolic Risk Profile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9654109266691114"/>
          <c:y val="5.1851821608736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table!$D$61:$D$66</c:f>
              <c:strCache>
                <c:ptCount val="6"/>
                <c:pt idx="1">
                  <c:v>Age Group</c:v>
                </c:pt>
                <c:pt idx="2">
                  <c:v>Age range 18-29</c:v>
                </c:pt>
                <c:pt idx="3">
                  <c:v>Age range 30-40</c:v>
                </c:pt>
                <c:pt idx="4">
                  <c:v>Age range 45-59</c:v>
                </c:pt>
                <c:pt idx="5">
                  <c:v>Age range 60+</c:v>
                </c:pt>
              </c:strCache>
            </c:strRef>
          </c:cat>
          <c:val>
            <c:numRef>
              <c:f>table!$E$61:$E$66</c:f>
              <c:numCache>
                <c:formatCode>General</c:formatCode>
                <c:ptCount val="6"/>
                <c:pt idx="1">
                  <c:v>0</c:v>
                </c:pt>
                <c:pt idx="2" formatCode="0.00">
                  <c:v>16.928461538461537</c:v>
                </c:pt>
                <c:pt idx="3" formatCode="0.00">
                  <c:v>33.013076923076923</c:v>
                </c:pt>
                <c:pt idx="4" formatCode="0.00">
                  <c:v>28.416153846153843</c:v>
                </c:pt>
                <c:pt idx="5" formatCode="0.00">
                  <c:v>21.643076923076926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4-49C4-9B5F-C73C8FEBA8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28799"/>
        <c:axId val="10250399"/>
      </c:barChart>
      <c:catAx>
        <c:axId val="1022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399"/>
        <c:crosses val="autoZero"/>
        <c:auto val="1"/>
        <c:lblAlgn val="ctr"/>
        <c:lblOffset val="100"/>
        <c:noMultiLvlLbl val="0"/>
      </c:catAx>
      <c:valAx>
        <c:axId val="102503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Gender Distribution 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0494881088980186"/>
          <c:y val="3.7037015434811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0-4641-9906-466785F87C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0-4641-9906-466785F87C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D4-4D45-ACB8-BF7BDDC5CB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D4-4D45-ACB8-BF7BDDC5CB3A}"/>
              </c:ext>
            </c:extLst>
          </c:dPt>
          <c:dLbls>
            <c:dLbl>
              <c:idx val="0"/>
              <c:layout>
                <c:manualLayout>
                  <c:x val="0.11447823587925011"/>
                  <c:y val="2.22222092608869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20-4641-9906-466785F87CE6}"/>
                </c:ext>
              </c:extLst>
            </c:dLbl>
            <c:dLbl>
              <c:idx val="1"/>
              <c:layout>
                <c:manualLayout>
                  <c:x val="-0.12794626362975017"/>
                  <c:y val="-2.96296123478493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20-4641-9906-466785F87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table!$A$55:$A$58</c:f>
              <c:strCache>
                <c:ptCount val="4"/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table!$B$55:$B$58</c:f>
              <c:numCache>
                <c:formatCode>General</c:formatCode>
                <c:ptCount val="4"/>
                <c:pt idx="1">
                  <c:v>0</c:v>
                </c:pt>
                <c:pt idx="2" formatCode="0.00">
                  <c:v>42.737692307692306</c:v>
                </c:pt>
                <c:pt idx="3" formatCode="0.00">
                  <c:v>57.262307692307708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0-4641-9906-466785F87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Total Cardiometabolic Risk per month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table!$M$19</c:f>
              <c:strCache>
                <c:ptCount val="1"/>
                <c:pt idx="0">
                  <c:v>Total Cardiovascular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table!$L$20:$L$31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table!$M$20:$M$31</c:f>
              <c:numCache>
                <c:formatCode>General</c:formatCode>
                <c:ptCount val="12"/>
                <c:pt idx="0">
                  <c:v>579.29999999999995</c:v>
                </c:pt>
                <c:pt idx="1">
                  <c:v>310.7</c:v>
                </c:pt>
                <c:pt idx="2">
                  <c:v>295.89999999999998</c:v>
                </c:pt>
                <c:pt idx="3">
                  <c:v>273.20000000000005</c:v>
                </c:pt>
                <c:pt idx="4">
                  <c:v>292.39999999999998</c:v>
                </c:pt>
                <c:pt idx="5">
                  <c:v>273.7</c:v>
                </c:pt>
                <c:pt idx="6">
                  <c:v>289.00000000000006</c:v>
                </c:pt>
                <c:pt idx="7">
                  <c:v>282.29999999999995</c:v>
                </c:pt>
                <c:pt idx="8">
                  <c:v>296.79999999999995</c:v>
                </c:pt>
                <c:pt idx="9">
                  <c:v>272.70000000000005</c:v>
                </c:pt>
                <c:pt idx="10">
                  <c:v>271.59999999999997</c:v>
                </c:pt>
                <c:pt idx="11">
                  <c:v>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0-4059-82F4-4E3B3BFC15CB}"/>
            </c:ext>
          </c:extLst>
        </c:ser>
        <c:ser>
          <c:idx val="1"/>
          <c:order val="1"/>
          <c:tx>
            <c:strRef>
              <c:f>table!$N$19</c:f>
              <c:strCache>
                <c:ptCount val="1"/>
                <c:pt idx="0">
                  <c:v>Total Metabolic Risk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table!$L$20:$L$31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table!$N$20:$N$31</c:f>
              <c:numCache>
                <c:formatCode>General</c:formatCode>
                <c:ptCount val="12"/>
                <c:pt idx="0">
                  <c:v>515.20000000000005</c:v>
                </c:pt>
                <c:pt idx="1">
                  <c:v>272.2</c:v>
                </c:pt>
                <c:pt idx="2">
                  <c:v>261.3</c:v>
                </c:pt>
                <c:pt idx="3">
                  <c:v>269.5</c:v>
                </c:pt>
                <c:pt idx="4">
                  <c:v>243.79999999999998</c:v>
                </c:pt>
                <c:pt idx="5">
                  <c:v>251.7</c:v>
                </c:pt>
                <c:pt idx="6">
                  <c:v>265.3</c:v>
                </c:pt>
                <c:pt idx="7">
                  <c:v>277.3</c:v>
                </c:pt>
                <c:pt idx="8">
                  <c:v>269.7</c:v>
                </c:pt>
                <c:pt idx="9">
                  <c:v>272.2</c:v>
                </c:pt>
                <c:pt idx="10">
                  <c:v>239.6</c:v>
                </c:pt>
                <c:pt idx="11">
                  <c:v>263.7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0-4059-82F4-4E3B3BFC15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98079"/>
        <c:axId val="10217759"/>
      </c:barChart>
      <c:catAx>
        <c:axId val="101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759"/>
        <c:crosses val="autoZero"/>
        <c:auto val="1"/>
        <c:lblAlgn val="ctr"/>
        <c:lblOffset val="100"/>
        <c:noMultiLvlLbl val="0"/>
      </c:catAx>
      <c:valAx>
        <c:axId val="10217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62357830271216"/>
          <c:y val="0.17171296296296296"/>
          <c:w val="0.74879308836395453"/>
          <c:h val="0.59046988918051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table!$B$86</c:f>
              <c:strCache>
                <c:ptCount val="1"/>
                <c:pt idx="0">
                  <c:v>Average Optimal Risk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table!$A$87:$A$96</c:f>
              <c:strCache>
                <c:ptCount val="10"/>
                <c:pt idx="0">
                  <c:v>Belgium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  <c:pt idx="5">
                  <c:v>Netherlands</c:v>
                </c:pt>
                <c:pt idx="6">
                  <c:v>Portugal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table!$B$87:$B$96</c:f>
              <c:numCache>
                <c:formatCode>0.00</c:formatCode>
                <c:ptCount val="10"/>
                <c:pt idx="0">
                  <c:v>33.407692307692308</c:v>
                </c:pt>
                <c:pt idx="1">
                  <c:v>32.615384615384613</c:v>
                </c:pt>
                <c:pt idx="2">
                  <c:v>33.11538461538462</c:v>
                </c:pt>
                <c:pt idx="3">
                  <c:v>32.746153846153838</c:v>
                </c:pt>
                <c:pt idx="4">
                  <c:v>32.738461538461536</c:v>
                </c:pt>
                <c:pt idx="5">
                  <c:v>32.553846153846159</c:v>
                </c:pt>
                <c:pt idx="6">
                  <c:v>33.030769230769231</c:v>
                </c:pt>
                <c:pt idx="7">
                  <c:v>32.761538461538464</c:v>
                </c:pt>
                <c:pt idx="8">
                  <c:v>32.353846153846156</c:v>
                </c:pt>
                <c:pt idx="9">
                  <c:v>32.769230769230766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1-4666-A259-F4A8B8849282}"/>
            </c:ext>
          </c:extLst>
        </c:ser>
        <c:ser>
          <c:idx val="1"/>
          <c:order val="1"/>
          <c:tx>
            <c:strRef>
              <c:f>table!$C$86</c:f>
              <c:strCache>
                <c:ptCount val="1"/>
                <c:pt idx="0">
                  <c:v>Average Normal Risk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table!$A$87:$A$96</c:f>
              <c:strCache>
                <c:ptCount val="10"/>
                <c:pt idx="0">
                  <c:v>Belgium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  <c:pt idx="5">
                  <c:v>Netherlands</c:v>
                </c:pt>
                <c:pt idx="6">
                  <c:v>Portugal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table!$C$87:$C$96</c:f>
              <c:numCache>
                <c:formatCode>0.00</c:formatCode>
                <c:ptCount val="10"/>
                <c:pt idx="0">
                  <c:v>30.061538461538468</c:v>
                </c:pt>
                <c:pt idx="1">
                  <c:v>29.338461538461534</c:v>
                </c:pt>
                <c:pt idx="2">
                  <c:v>30.030769230769231</c:v>
                </c:pt>
                <c:pt idx="3">
                  <c:v>29.930769230769229</c:v>
                </c:pt>
                <c:pt idx="4">
                  <c:v>29.753846153846155</c:v>
                </c:pt>
                <c:pt idx="5">
                  <c:v>29.569230769230771</c:v>
                </c:pt>
                <c:pt idx="6">
                  <c:v>29.638461538461534</c:v>
                </c:pt>
                <c:pt idx="7">
                  <c:v>29.046153846153842</c:v>
                </c:pt>
                <c:pt idx="8">
                  <c:v>30.653846153846153</c:v>
                </c:pt>
                <c:pt idx="9">
                  <c:v>28.96153846153846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1-4666-A259-F4A8B8849282}"/>
            </c:ext>
          </c:extLst>
        </c:ser>
        <c:ser>
          <c:idx val="2"/>
          <c:order val="2"/>
          <c:tx>
            <c:strRef>
              <c:f>table!$D$86</c:f>
              <c:strCache>
                <c:ptCount val="1"/>
                <c:pt idx="0">
                  <c:v>Average Risk Attention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table!$A$87:$A$96</c:f>
              <c:strCache>
                <c:ptCount val="10"/>
                <c:pt idx="0">
                  <c:v>Belgium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  <c:pt idx="5">
                  <c:v>Netherlands</c:v>
                </c:pt>
                <c:pt idx="6">
                  <c:v>Portugal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table!$D$87:$D$96</c:f>
              <c:numCache>
                <c:formatCode>0.00</c:formatCode>
                <c:ptCount val="10"/>
                <c:pt idx="0">
                  <c:v>21.000000000000004</c:v>
                </c:pt>
                <c:pt idx="1">
                  <c:v>21.646153846153844</c:v>
                </c:pt>
                <c:pt idx="2">
                  <c:v>21.338461538461537</c:v>
                </c:pt>
                <c:pt idx="3">
                  <c:v>21.538461538461533</c:v>
                </c:pt>
                <c:pt idx="4">
                  <c:v>21.569230769230771</c:v>
                </c:pt>
                <c:pt idx="5">
                  <c:v>21.507692307692309</c:v>
                </c:pt>
                <c:pt idx="6">
                  <c:v>21.615384615384617</c:v>
                </c:pt>
                <c:pt idx="7">
                  <c:v>21.815384615384616</c:v>
                </c:pt>
                <c:pt idx="8">
                  <c:v>21.523076923076928</c:v>
                </c:pt>
                <c:pt idx="9">
                  <c:v>22.115384615384617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1-4666-A259-F4A8B8849282}"/>
            </c:ext>
          </c:extLst>
        </c:ser>
        <c:ser>
          <c:idx val="3"/>
          <c:order val="3"/>
          <c:tx>
            <c:strRef>
              <c:f>table!$E$86</c:f>
              <c:strCache>
                <c:ptCount val="1"/>
                <c:pt idx="0">
                  <c:v>Average Elevated Risk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table!$A$87:$A$96</c:f>
              <c:strCache>
                <c:ptCount val="10"/>
                <c:pt idx="0">
                  <c:v>Belgium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  <c:pt idx="5">
                  <c:v>Netherlands</c:v>
                </c:pt>
                <c:pt idx="6">
                  <c:v>Portugal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table!$E$87:$E$96</c:f>
              <c:numCache>
                <c:formatCode>0.00</c:formatCode>
                <c:ptCount val="10"/>
                <c:pt idx="0">
                  <c:v>11.115384615384617</c:v>
                </c:pt>
                <c:pt idx="1">
                  <c:v>12</c:v>
                </c:pt>
                <c:pt idx="2">
                  <c:v>11.246153846153847</c:v>
                </c:pt>
                <c:pt idx="3">
                  <c:v>11.453846153846152</c:v>
                </c:pt>
                <c:pt idx="4">
                  <c:v>11.376923076923077</c:v>
                </c:pt>
                <c:pt idx="5">
                  <c:v>11.907692307692308</c:v>
                </c:pt>
                <c:pt idx="6">
                  <c:v>11.038461538461538</c:v>
                </c:pt>
                <c:pt idx="7">
                  <c:v>11.969230769230769</c:v>
                </c:pt>
                <c:pt idx="8">
                  <c:v>10.692307692307692</c:v>
                </c:pt>
                <c:pt idx="9">
                  <c:v>11.584615384615384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91-4666-A259-F4A8B8849282}"/>
            </c:ext>
          </c:extLst>
        </c:ser>
        <c:ser>
          <c:idx val="4"/>
          <c:order val="4"/>
          <c:tx>
            <c:strRef>
              <c:f>table!$F$86</c:f>
              <c:strCache>
                <c:ptCount val="1"/>
                <c:pt idx="0">
                  <c:v>Average Critical Risk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table!$A$87:$A$96</c:f>
              <c:strCache>
                <c:ptCount val="10"/>
                <c:pt idx="0">
                  <c:v>Belgium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Italy</c:v>
                </c:pt>
                <c:pt idx="5">
                  <c:v>Netherlands</c:v>
                </c:pt>
                <c:pt idx="6">
                  <c:v>Portugal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table!$F$87:$F$96</c:f>
              <c:numCache>
                <c:formatCode>0.00</c:formatCode>
                <c:ptCount val="10"/>
                <c:pt idx="0">
                  <c:v>4.4230769230769234</c:v>
                </c:pt>
                <c:pt idx="1">
                  <c:v>4.407692307692308</c:v>
                </c:pt>
                <c:pt idx="2">
                  <c:v>4.2538461538461538</c:v>
                </c:pt>
                <c:pt idx="3">
                  <c:v>4.3461538461538458</c:v>
                </c:pt>
                <c:pt idx="4">
                  <c:v>4.569230769230769</c:v>
                </c:pt>
                <c:pt idx="5">
                  <c:v>4.4615384615384617</c:v>
                </c:pt>
                <c:pt idx="6">
                  <c:v>4.6846153846153848</c:v>
                </c:pt>
                <c:pt idx="7">
                  <c:v>4.4153846153846157</c:v>
                </c:pt>
                <c:pt idx="8">
                  <c:v>4.7692307692307692</c:v>
                </c:pt>
                <c:pt idx="9">
                  <c:v>4.5923076923076929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91-4666-A259-F4A8B8849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78367"/>
        <c:axId val="146973567"/>
      </c:barChart>
      <c:catAx>
        <c:axId val="14697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3567"/>
        <c:crosses val="autoZero"/>
        <c:auto val="1"/>
        <c:lblAlgn val="ctr"/>
        <c:lblOffset val="100"/>
        <c:noMultiLvlLbl val="0"/>
      </c:catAx>
      <c:valAx>
        <c:axId val="146973567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4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432813085864268"/>
          <c:y val="8.2148148148148165E-2"/>
          <c:w val="0.83301040494938128"/>
          <c:h val="0.14259434237386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47626</xdr:rowOff>
    </xdr:from>
    <xdr:to>
      <xdr:col>20</xdr:col>
      <xdr:colOff>600075</xdr:colOff>
      <xdr:row>4</xdr:row>
      <xdr:rowOff>28576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18ADFF9-5DD9-DD61-C7BE-B144C9550E3B}"/>
            </a:ext>
          </a:extLst>
        </xdr:cNvPr>
        <xdr:cNvGrpSpPr/>
      </xdr:nvGrpSpPr>
      <xdr:grpSpPr>
        <a:xfrm>
          <a:off x="1209675" y="47626"/>
          <a:ext cx="11582400" cy="742950"/>
          <a:chOff x="1209675" y="47626"/>
          <a:chExt cx="11582400" cy="74295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7A4C758-938F-EA49-50CF-3FBDD1706370}"/>
              </a:ext>
            </a:extLst>
          </xdr:cNvPr>
          <xdr:cNvSpPr/>
        </xdr:nvSpPr>
        <xdr:spPr>
          <a:xfrm>
            <a:off x="1209675" y="47626"/>
            <a:ext cx="11582400" cy="74295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400">
                <a:solidFill>
                  <a:schemeClr val="lt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CARDIOMETABOLIC HEALTH RISK INTELLIGENCE REPORT</a:t>
            </a:r>
            <a:endParaRPr lang="en-US" sz="5400" b="1">
              <a:latin typeface="Arial Black" panose="020B0A04020102020204" pitchFamily="34" charset="0"/>
            </a:endParaRPr>
          </a:p>
        </xdr:txBody>
      </xdr:sp>
      <xdr:pic>
        <xdr:nvPicPr>
          <xdr:cNvPr id="7" name="Picture 6" descr="Sign symbol health logo hospital vector red cross and the ...">
            <a:extLst>
              <a:ext uri="{FF2B5EF4-FFF2-40B4-BE49-F238E27FC236}">
                <a16:creationId xmlns:a16="http://schemas.microsoft.com/office/drawing/2014/main" id="{BABD1667-A011-4F2D-8750-0E49A851E3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15801" y="152399"/>
            <a:ext cx="581024" cy="5334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 descr="3,744,600+ Health Symbol Stock Photos, Pictures &amp; Royalty ...">
            <a:extLst>
              <a:ext uri="{FF2B5EF4-FFF2-40B4-BE49-F238E27FC236}">
                <a16:creationId xmlns:a16="http://schemas.microsoft.com/office/drawing/2014/main" id="{5C8631DE-8929-4670-93C1-3FEEFB4184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2075" y="123826"/>
            <a:ext cx="561975" cy="5700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581026</xdr:colOff>
      <xdr:row>5</xdr:row>
      <xdr:rowOff>28575</xdr:rowOff>
    </xdr:from>
    <xdr:to>
      <xdr:col>9</xdr:col>
      <xdr:colOff>0</xdr:colOff>
      <xdr:row>8</xdr:row>
      <xdr:rowOff>180975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1720B98-BF65-1EE2-0888-AC89E71A4DDA}"/>
            </a:ext>
          </a:extLst>
        </xdr:cNvPr>
        <xdr:cNvGrpSpPr/>
      </xdr:nvGrpSpPr>
      <xdr:grpSpPr>
        <a:xfrm>
          <a:off x="3629026" y="981075"/>
          <a:ext cx="1857374" cy="723900"/>
          <a:chOff x="3629026" y="876300"/>
          <a:chExt cx="1857374" cy="72390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13F42802-F74E-E70C-B68C-6668F9E544B5}"/>
              </a:ext>
            </a:extLst>
          </xdr:cNvPr>
          <xdr:cNvSpPr/>
        </xdr:nvSpPr>
        <xdr:spPr>
          <a:xfrm>
            <a:off x="3629026" y="876300"/>
            <a:ext cx="1857374" cy="4476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cs typeface="Calibri Light" panose="020F0302020204030204" pitchFamily="34" charset="0"/>
              </a:rPr>
              <a:t>Total Monthly Analysis</a:t>
            </a:r>
          </a:p>
        </xdr:txBody>
      </xdr:sp>
      <xdr:sp macro="" textlink="table!B12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296C3A8-5102-41F2-ABF1-BD91458270A1}"/>
              </a:ext>
            </a:extLst>
          </xdr:cNvPr>
          <xdr:cNvSpPr/>
        </xdr:nvSpPr>
        <xdr:spPr>
          <a:xfrm>
            <a:off x="3629026" y="1190625"/>
            <a:ext cx="1857374" cy="4095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DDCFCBA-9DCD-49D8-AD04-3CF288E364CA}" type="TxLink">
              <a:rPr lang="en-US" sz="14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rPr>
              <a:pPr marL="0" indent="0" algn="ctr"/>
              <a:t>2284887</a:t>
            </a:fld>
            <a:endParaRPr lang="en-US" sz="1400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14</xdr:col>
      <xdr:colOff>0</xdr:colOff>
      <xdr:row>4</xdr:row>
      <xdr:rowOff>171450</xdr:rowOff>
    </xdr:from>
    <xdr:to>
      <xdr:col>17</xdr:col>
      <xdr:colOff>28574</xdr:colOff>
      <xdr:row>8</xdr:row>
      <xdr:rowOff>171450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778A176-78BA-CDD2-4B83-9B16ADC203A7}"/>
            </a:ext>
          </a:extLst>
        </xdr:cNvPr>
        <xdr:cNvGrpSpPr/>
      </xdr:nvGrpSpPr>
      <xdr:grpSpPr>
        <a:xfrm>
          <a:off x="8534400" y="933450"/>
          <a:ext cx="1857374" cy="762000"/>
          <a:chOff x="8620128" y="952500"/>
          <a:chExt cx="1857374" cy="762000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CC2B295B-1E45-14C9-7BBB-483B4560CFE6}"/>
              </a:ext>
            </a:extLst>
          </xdr:cNvPr>
          <xdr:cNvSpPr/>
        </xdr:nvSpPr>
        <xdr:spPr>
          <a:xfrm>
            <a:off x="8620128" y="952500"/>
            <a:ext cx="1857374" cy="4476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Avg.</a:t>
            </a:r>
            <a:r>
              <a:rPr lang="en-US" sz="1050" b="1" baseline="0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 </a:t>
            </a:r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metabolic</a:t>
            </a:r>
            <a:r>
              <a:rPr lang="en-US" sz="1050" b="1" baseline="0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 </a:t>
            </a:r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risk</a:t>
            </a:r>
            <a:r>
              <a:rPr lang="en-US" sz="1050" b="1" baseline="0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 </a:t>
            </a:r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score </a:t>
            </a:r>
          </a:p>
        </xdr:txBody>
      </xdr:sp>
      <xdr:sp macro="" textlink="table!B14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CE050989-C454-72D3-61D0-674231A5A00E}"/>
              </a:ext>
            </a:extLst>
          </xdr:cNvPr>
          <xdr:cNvSpPr/>
        </xdr:nvSpPr>
        <xdr:spPr>
          <a:xfrm>
            <a:off x="8620128" y="1304925"/>
            <a:ext cx="1857374" cy="4095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B951FB98-F048-4EE3-914D-2777FAB2E717}" type="TxLink">
              <a:rPr lang="en-US" sz="14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rPr>
              <a:pPr marL="0" indent="0" algn="ctr"/>
              <a:t>26.16538462</a:t>
            </a:fld>
            <a:endParaRPr lang="en-US" sz="1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571501</xdr:colOff>
      <xdr:row>5</xdr:row>
      <xdr:rowOff>0</xdr:rowOff>
    </xdr:from>
    <xdr:to>
      <xdr:col>20</xdr:col>
      <xdr:colOff>600075</xdr:colOff>
      <xdr:row>9</xdr:row>
      <xdr:rowOff>57150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DE30A26E-88B0-5BD6-C798-6B1BAC3C4D21}"/>
            </a:ext>
          </a:extLst>
        </xdr:cNvPr>
        <xdr:cNvGrpSpPr/>
      </xdr:nvGrpSpPr>
      <xdr:grpSpPr>
        <a:xfrm>
          <a:off x="10934701" y="952500"/>
          <a:ext cx="1857374" cy="819150"/>
          <a:chOff x="10753728" y="1114425"/>
          <a:chExt cx="1857374" cy="819150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3DB809F0-F636-1D6F-10B7-13DAB9477AB1}"/>
              </a:ext>
            </a:extLst>
          </xdr:cNvPr>
          <xdr:cNvSpPr/>
        </xdr:nvSpPr>
        <xdr:spPr>
          <a:xfrm>
            <a:off x="10753728" y="1114425"/>
            <a:ext cx="1857374" cy="58102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Avg. critical_risk score </a:t>
            </a:r>
          </a:p>
        </xdr:txBody>
      </xdr:sp>
      <xdr:sp macro="" textlink="table!B15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76137BC9-1FD1-18F0-1F71-952300163918}"/>
              </a:ext>
            </a:extLst>
          </xdr:cNvPr>
          <xdr:cNvSpPr/>
        </xdr:nvSpPr>
        <xdr:spPr>
          <a:xfrm>
            <a:off x="10753728" y="1524000"/>
            <a:ext cx="1857374" cy="4095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856169C0-9322-448B-93EB-D83A98338091}" type="TxLink">
              <a:rPr lang="en-US" sz="14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rPr>
              <a:pPr marL="0" indent="0" algn="ctr"/>
              <a:t>2071</a:t>
            </a:fld>
            <a:endParaRPr lang="en-US" sz="1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0</xdr:colOff>
      <xdr:row>5</xdr:row>
      <xdr:rowOff>19050</xdr:rowOff>
    </xdr:from>
    <xdr:to>
      <xdr:col>13</xdr:col>
      <xdr:colOff>28574</xdr:colOff>
      <xdr:row>9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39B78FB0-7340-2905-20E9-C6A60B13EA85}"/>
            </a:ext>
          </a:extLst>
        </xdr:cNvPr>
        <xdr:cNvGrpSpPr/>
      </xdr:nvGrpSpPr>
      <xdr:grpSpPr>
        <a:xfrm>
          <a:off x="6096000" y="971550"/>
          <a:ext cx="1857374" cy="742950"/>
          <a:chOff x="5486400" y="952500"/>
          <a:chExt cx="1857374" cy="742950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875F4291-CF1B-A9FB-8786-39D507A15313}"/>
              </a:ext>
            </a:extLst>
          </xdr:cNvPr>
          <xdr:cNvSpPr/>
        </xdr:nvSpPr>
        <xdr:spPr>
          <a:xfrm>
            <a:off x="5486400" y="952500"/>
            <a:ext cx="1857374" cy="4476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Avg. cardiovascular</a:t>
            </a:r>
            <a:r>
              <a:rPr lang="en-US" sz="1050" b="1" baseline="0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 </a:t>
            </a:r>
            <a:r>
              <a:rPr lang="en-US" sz="1050" b="1">
                <a:solidFill>
                  <a:schemeClr val="bg1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rPr>
              <a:t>risk_score</a:t>
            </a:r>
          </a:p>
        </xdr:txBody>
      </xdr:sp>
      <xdr:sp macro="" textlink="table!B13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E687BAE-4449-1404-6C7B-5C44EE580D19}"/>
              </a:ext>
            </a:extLst>
          </xdr:cNvPr>
          <xdr:cNvSpPr/>
        </xdr:nvSpPr>
        <xdr:spPr>
          <a:xfrm>
            <a:off x="5486400" y="1285875"/>
            <a:ext cx="1857374" cy="40957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3433E1A1-7851-41E4-9D1B-CCA8190D1C35}" type="TxLink">
              <a:rPr lang="en-US" sz="14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rPr>
              <a:pPr marL="0" indent="0" algn="ctr"/>
              <a:t>28.75230769</a:t>
            </a:fld>
            <a:endParaRPr lang="en-US" sz="1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552451</xdr:colOff>
      <xdr:row>10</xdr:row>
      <xdr:rowOff>0</xdr:rowOff>
    </xdr:from>
    <xdr:to>
      <xdr:col>12</xdr:col>
      <xdr:colOff>552451</xdr:colOff>
      <xdr:row>19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CDADE41-2643-0459-A899-C83258FBCBAD}"/>
            </a:ext>
          </a:extLst>
        </xdr:cNvPr>
        <xdr:cNvSpPr/>
      </xdr:nvSpPr>
      <xdr:spPr>
        <a:xfrm>
          <a:off x="3600451" y="1905000"/>
          <a:ext cx="4267200" cy="1714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9</xdr:row>
      <xdr:rowOff>180975</xdr:rowOff>
    </xdr:from>
    <xdr:to>
      <xdr:col>21</xdr:col>
      <xdr:colOff>0</xdr:colOff>
      <xdr:row>18</xdr:row>
      <xdr:rowOff>180975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73C9CCB-9D1B-4F6D-A8F0-2F01929B3557}"/>
            </a:ext>
          </a:extLst>
        </xdr:cNvPr>
        <xdr:cNvSpPr/>
      </xdr:nvSpPr>
      <xdr:spPr>
        <a:xfrm>
          <a:off x="8534400" y="1895475"/>
          <a:ext cx="4267200" cy="1714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552451</xdr:colOff>
      <xdr:row>20</xdr:row>
      <xdr:rowOff>0</xdr:rowOff>
    </xdr:from>
    <xdr:to>
      <xdr:col>12</xdr:col>
      <xdr:colOff>0</xdr:colOff>
      <xdr:row>29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094C82E-B592-4C6F-824C-C7FFB7547340}"/>
            </a:ext>
          </a:extLst>
        </xdr:cNvPr>
        <xdr:cNvSpPr/>
      </xdr:nvSpPr>
      <xdr:spPr>
        <a:xfrm>
          <a:off x="3600451" y="3810000"/>
          <a:ext cx="3714749" cy="1714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609599</xdr:colOff>
      <xdr:row>20</xdr:row>
      <xdr:rowOff>0</xdr:rowOff>
    </xdr:from>
    <xdr:to>
      <xdr:col>20</xdr:col>
      <xdr:colOff>600074</xdr:colOff>
      <xdr:row>29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BAFE93C8-447C-43D8-BDB9-17B2FF55685A}"/>
            </a:ext>
          </a:extLst>
        </xdr:cNvPr>
        <xdr:cNvSpPr/>
      </xdr:nvSpPr>
      <xdr:spPr>
        <a:xfrm>
          <a:off x="9753599" y="3810000"/>
          <a:ext cx="3038475" cy="1714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352426</xdr:colOff>
      <xdr:row>20</xdr:row>
      <xdr:rowOff>0</xdr:rowOff>
    </xdr:from>
    <xdr:to>
      <xdr:col>15</xdr:col>
      <xdr:colOff>409574</xdr:colOff>
      <xdr:row>29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85E13F6-C08D-4DB6-B35E-B5519424293B}"/>
            </a:ext>
          </a:extLst>
        </xdr:cNvPr>
        <xdr:cNvSpPr/>
      </xdr:nvSpPr>
      <xdr:spPr>
        <a:xfrm>
          <a:off x="7667626" y="3810000"/>
          <a:ext cx="1885948" cy="1714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95250</xdr:colOff>
      <xdr:row>5</xdr:row>
      <xdr:rowOff>171450</xdr:rowOff>
    </xdr:from>
    <xdr:to>
      <xdr:col>4</xdr:col>
      <xdr:colOff>400050</xdr:colOff>
      <xdr:row>29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4A8011B-DED9-4D40-905A-2FE8CD72D738}"/>
            </a:ext>
          </a:extLst>
        </xdr:cNvPr>
        <xdr:cNvSpPr/>
      </xdr:nvSpPr>
      <xdr:spPr>
        <a:xfrm>
          <a:off x="1314450" y="1123950"/>
          <a:ext cx="1524000" cy="44005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19</xdr:row>
      <xdr:rowOff>190499</xdr:rowOff>
    </xdr:from>
    <xdr:to>
      <xdr:col>20</xdr:col>
      <xdr:colOff>600074</xdr:colOff>
      <xdr:row>29</xdr:row>
      <xdr:rowOff>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5A839F2B-94E8-4713-BAF8-B75245065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352426</xdr:colOff>
      <xdr:row>19</xdr:row>
      <xdr:rowOff>190499</xdr:rowOff>
    </xdr:from>
    <xdr:to>
      <xdr:col>15</xdr:col>
      <xdr:colOff>409574</xdr:colOff>
      <xdr:row>29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ADDC852D-1411-45BD-9428-CC6C40AAD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552451</xdr:colOff>
      <xdr:row>20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2AC0061-5E3E-4BE7-A350-99C6030E9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552451</xdr:colOff>
      <xdr:row>10</xdr:row>
      <xdr:rowOff>0</xdr:rowOff>
    </xdr:from>
    <xdr:to>
      <xdr:col>12</xdr:col>
      <xdr:colOff>552451</xdr:colOff>
      <xdr:row>19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B3235583-9194-4946-A3B7-B961CFB85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67.335887499998" createdVersion="8" refreshedVersion="8" minRefreshableVersion="3" recordCount="130" xr:uid="{924D0017-BCC5-4956-9908-A622E756D1C7}">
  <cacheSource type="worksheet">
    <worksheetSource name="health"/>
  </cacheSource>
  <cacheFields count="35">
    <cacheField name="country_name" numFmtId="0">
      <sharedItems count="10">
        <s v="Belgium"/>
        <s v="Brazil"/>
        <s v="Germany"/>
        <s v="Spain"/>
        <s v="France"/>
        <s v="United Kingdom"/>
        <s v="Italy"/>
        <s v="Netherlands"/>
        <s v="Portugal"/>
        <s v="United States"/>
      </sharedItems>
    </cacheField>
    <cacheField name="region" numFmtId="0">
      <sharedItems count="3">
        <s v="Europe"/>
        <s v="South America"/>
        <s v="North America"/>
      </sharedItems>
    </cacheField>
    <cacheField name="sub_region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eriod" numFmtId="14">
      <sharedItems containsSemiMixedTypes="0" containsNonDate="0" containsDate="1" containsString="0" minDate="2025-01-01T00:00:00" maxDate="2026-01-02T00:00:00" count="13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34"/>
    </cacheField>
    <cacheField name="monthly_analyses" numFmtId="0">
      <sharedItems containsSemiMixedTypes="0" containsString="0" containsNumber="1" containsInteger="1" minValue="7660" maxValue="31440"/>
    </cacheField>
    <cacheField name="cumulative_analyses" numFmtId="0">
      <sharedItems containsSemiMixedTypes="0" containsString="0" containsNumber="1" containsInteger="1" minValue="7660" maxValue="329217"/>
    </cacheField>
    <cacheField name="unique_users" numFmtId="0">
      <sharedItems containsSemiMixedTypes="0" containsString="0" containsNumber="1" containsInteger="1" minValue="6718" maxValue="26122"/>
    </cacheField>
    <cacheField name="repeat_user_rate" numFmtId="0">
      <sharedItems containsSemiMixedTypes="0" containsString="0" containsNumber="1" minValue="0.18" maxValue="0.32"/>
    </cacheField>
    <cacheField name="avg_biomarkers_per_test" numFmtId="0">
      <sharedItems containsSemiMixedTypes="0" containsString="0" containsNumber="1" minValue="44.5" maxValue="47.5"/>
    </cacheField>
    <cacheField name="condition_healthy_pct" numFmtId="0">
      <sharedItems containsSemiMixedTypes="0" containsString="0" containsNumber="1" minValue="29.4" maxValue="41.4"/>
    </cacheField>
    <cacheField name="condition_cardiovascular_pct" numFmtId="0">
      <sharedItems containsSemiMixedTypes="0" containsString="0" containsNumber="1" minValue="33.4" maxValue="47.5"/>
    </cacheField>
    <cacheField name="condition_diabetes_pct" numFmtId="0">
      <sharedItems containsSemiMixedTypes="0" containsString="0" containsNumber="1" minValue="20.6" maxValue="39.4"/>
    </cacheField>
    <cacheField name="condition_metabolic_syndrome_pct" numFmtId="0">
      <sharedItems containsSemiMixedTypes="0" containsString="0" containsNumber="1" minValue="18" maxValue="34.200000000000003"/>
    </cacheField>
    <cacheField name="risk_optimal_pct" numFmtId="0">
      <sharedItems containsSemiMixedTypes="0" containsString="0" containsNumber="1" minValue="28.4" maxValue="37.1"/>
    </cacheField>
    <cacheField name="risk_normal_pct" numFmtId="0">
      <sharedItems containsSemiMixedTypes="0" containsString="0" containsNumber="1" minValue="26.3" maxValue="32.799999999999997"/>
    </cacheField>
    <cacheField name="risk_attention_pct" numFmtId="0">
      <sharedItems containsSemiMixedTypes="0" containsString="0" containsNumber="1" minValue="18.2" maxValue="24.5"/>
    </cacheField>
    <cacheField name="risk_elevated_pct" numFmtId="0">
      <sharedItems containsSemiMixedTypes="0" containsString="0" containsNumber="1" minValue="9" maxValue="14"/>
    </cacheField>
    <cacheField name="risk_critical_pct" numFmtId="0">
      <sharedItems containsSemiMixedTypes="0" containsString="0" containsNumber="1" minValue="2" maxValue="5"/>
    </cacheField>
    <cacheField name="age_18_29_pct" numFmtId="0">
      <sharedItems containsSemiMixedTypes="0" containsString="0" containsNumber="1" minValue="14" maxValue="20"/>
    </cacheField>
    <cacheField name="age_30_44_pct" numFmtId="0">
      <sharedItems containsSemiMixedTypes="0" containsString="0" containsNumber="1" minValue="30.1" maxValue="36"/>
    </cacheField>
    <cacheField name="age_45_59_pct" numFmtId="0">
      <sharedItems containsSemiMixedTypes="0" containsString="0" containsNumber="1" minValue="26" maxValue="30.9"/>
    </cacheField>
    <cacheField name="age_60_plus_pct" numFmtId="0">
      <sharedItems containsSemiMixedTypes="0" containsString="0" containsNumber="1" minValue="14.5" maxValue="28.3"/>
    </cacheField>
    <cacheField name="gender_male_pct" numFmtId="0">
      <sharedItems containsSemiMixedTypes="0" containsString="0" containsNumber="1" minValue="40.1" maxValue="46"/>
    </cacheField>
    <cacheField name="gender_female_pct" numFmtId="0">
      <sharedItems containsSemiMixedTypes="0" containsString="0" containsNumber="1" minValue="54" maxValue="59.9"/>
    </cacheField>
    <cacheField name="avg_health_score" numFmtId="0">
      <sharedItems containsSemiMixedTypes="0" containsString="0" containsNumber="1" minValue="68" maxValue="75.900000000000006"/>
    </cacheField>
    <cacheField name="avg_cardiovascular_risk_score" numFmtId="0">
      <sharedItems containsSemiMixedTypes="0" containsString="0" containsNumber="1" minValue="22.1" maxValue="35.700000000000003"/>
    </cacheField>
    <cacheField name="avg_metabolic_risk_score" numFmtId="0">
      <sharedItems containsSemiMixedTypes="0" containsString="0" containsNumber="1" minValue="20.100000000000001" maxValue="31.9"/>
    </cacheField>
    <cacheField name="avg_biomarkers_out_of_range" numFmtId="0">
      <sharedItems containsSemiMixedTypes="0" containsString="0" containsNumber="1" minValue="3.6" maxValue="4.8"/>
    </cacheField>
    <cacheField name="biomarker_abnormal_rate" numFmtId="0">
      <sharedItems containsSemiMixedTypes="0" containsString="0" containsNumber="1" minValue="0.3" maxValue="0.4"/>
    </cacheField>
    <cacheField name="elevated_critical_risk" numFmtId="0" formula="risk_elevated_pct +risk_critical_pct" databaseField="0"/>
    <cacheField name="Months (period)" numFmtId="0" databaseField="0">
      <fieldGroup base="5">
        <rangePr groupBy="months" startDate="2025-01-01T00:00:00" endDate="2026-01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6"/>
        </groupItems>
      </fieldGroup>
    </cacheField>
    <cacheField name="Quarters (period)" numFmtId="0" databaseField="0">
      <fieldGroup base="5">
        <rangePr groupBy="quarters" startDate="2025-01-01T00:00:00" endDate="2026-01-02T00:00:00"/>
        <groupItems count="6">
          <s v="&lt;1/1/2025"/>
          <s v="Qtr1"/>
          <s v="Qtr2"/>
          <s v="Qtr3"/>
          <s v="Qtr4"/>
          <s v="&gt;1/2/2026"/>
        </groupItems>
      </fieldGroup>
    </cacheField>
    <cacheField name="Years (period)" numFmtId="0" databaseField="0">
      <fieldGroup base="5">
        <rangePr groupBy="years" startDate="2025-01-01T00:00:00" endDate="2026-01-02T00:00:00"/>
        <groupItems count="4">
          <s v="&lt;1/1/2025"/>
          <s v="2025"/>
          <s v="2026"/>
          <s v="&gt;1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s v="Western Europe"/>
    <x v="0"/>
    <x v="0"/>
    <x v="0"/>
    <n v="7660"/>
    <n v="7660"/>
    <n v="6718"/>
    <n v="0.28000000000000003"/>
    <n v="46.3"/>
    <n v="32.4"/>
    <n v="39.1"/>
    <n v="31.2"/>
    <n v="26.7"/>
    <n v="33.200000000000003"/>
    <n v="29.3"/>
    <n v="20.5"/>
    <n v="12.1"/>
    <n v="5"/>
    <n v="14.8"/>
    <n v="31.8"/>
    <n v="27.8"/>
    <n v="25.6"/>
    <n v="42.7"/>
    <n v="57.3"/>
    <n v="69.599999999999994"/>
    <n v="29.2"/>
    <n v="27.1"/>
    <n v="4.7"/>
    <n v="0.4"/>
  </r>
  <r>
    <x v="0"/>
    <x v="0"/>
    <s v="Western Europe"/>
    <x v="0"/>
    <x v="1"/>
    <x v="1"/>
    <n v="8833"/>
    <n v="16493"/>
    <n v="7404"/>
    <n v="0.19"/>
    <n v="46.6"/>
    <n v="34.299999999999997"/>
    <n v="41"/>
    <n v="28.1"/>
    <n v="28.3"/>
    <n v="33.9"/>
    <n v="30.1"/>
    <n v="20.399999999999999"/>
    <n v="13.6"/>
    <n v="2"/>
    <n v="14.5"/>
    <n v="31.2"/>
    <n v="26.2"/>
    <n v="28.1"/>
    <n v="42"/>
    <n v="58"/>
    <n v="70.2"/>
    <n v="33.6"/>
    <n v="24.3"/>
    <n v="3.7"/>
    <n v="0.4"/>
  </r>
  <r>
    <x v="0"/>
    <x v="0"/>
    <s v="Western Europe"/>
    <x v="0"/>
    <x v="2"/>
    <x v="2"/>
    <n v="9412"/>
    <n v="25905"/>
    <n v="7830"/>
    <n v="0.18"/>
    <n v="46.9"/>
    <n v="34.1"/>
    <n v="42.3"/>
    <n v="28.6"/>
    <n v="26.5"/>
    <n v="33.200000000000003"/>
    <n v="31.4"/>
    <n v="20.9"/>
    <n v="9.6"/>
    <n v="5"/>
    <n v="18.3"/>
    <n v="34.6"/>
    <n v="28.8"/>
    <n v="18.3"/>
    <n v="44.6"/>
    <n v="55.4"/>
    <n v="72.2"/>
    <n v="28"/>
    <n v="20.3"/>
    <n v="4.2"/>
    <n v="0.39"/>
  </r>
  <r>
    <x v="0"/>
    <x v="0"/>
    <s v="Western Europe"/>
    <x v="0"/>
    <x v="3"/>
    <x v="3"/>
    <n v="8657"/>
    <n v="34562"/>
    <n v="7311"/>
    <n v="0.28999999999999998"/>
    <n v="45.2"/>
    <n v="34.799999999999997"/>
    <n v="40"/>
    <n v="32.299999999999997"/>
    <n v="28.7"/>
    <n v="33.5"/>
    <n v="28.8"/>
    <n v="21.6"/>
    <n v="11.1"/>
    <n v="5"/>
    <n v="18.899999999999999"/>
    <n v="35.200000000000003"/>
    <n v="26"/>
    <n v="19.899999999999999"/>
    <n v="43.1"/>
    <n v="56.9"/>
    <n v="69.8"/>
    <n v="23.7"/>
    <n v="24.1"/>
    <n v="4"/>
    <n v="0.4"/>
  </r>
  <r>
    <x v="0"/>
    <x v="0"/>
    <s v="Western Europe"/>
    <x v="0"/>
    <x v="4"/>
    <x v="4"/>
    <n v="10203"/>
    <n v="44765"/>
    <n v="8520"/>
    <n v="0.25"/>
    <n v="45.4"/>
    <n v="33.9"/>
    <n v="41.9"/>
    <n v="30.9"/>
    <n v="26.1"/>
    <n v="34.200000000000003"/>
    <n v="27.5"/>
    <n v="22.5"/>
    <n v="10.8"/>
    <n v="5"/>
    <n v="17.8"/>
    <n v="33.799999999999997"/>
    <n v="28.7"/>
    <n v="19.7"/>
    <n v="40.5"/>
    <n v="59.5"/>
    <n v="70.599999999999994"/>
    <n v="24.6"/>
    <n v="20.5"/>
    <n v="3.9"/>
    <n v="0.36"/>
  </r>
  <r>
    <x v="0"/>
    <x v="0"/>
    <s v="Western Europe"/>
    <x v="0"/>
    <x v="5"/>
    <x v="5"/>
    <n v="9461"/>
    <n v="54226"/>
    <n v="8150"/>
    <n v="0.23"/>
    <n v="47.3"/>
    <n v="34.799999999999997"/>
    <n v="40.1"/>
    <n v="32.9"/>
    <n v="29.8"/>
    <n v="35.200000000000003"/>
    <n v="29.8"/>
    <n v="20"/>
    <n v="10.7"/>
    <n v="4.2"/>
    <n v="18.399999999999999"/>
    <n v="35.4"/>
    <n v="30.4"/>
    <n v="15.8"/>
    <n v="44.7"/>
    <n v="55.3"/>
    <n v="68.7"/>
    <n v="24.3"/>
    <n v="30.8"/>
    <n v="3.6"/>
    <n v="0.32"/>
  </r>
  <r>
    <x v="0"/>
    <x v="0"/>
    <s v="Western Europe"/>
    <x v="0"/>
    <x v="6"/>
    <x v="6"/>
    <n v="10544"/>
    <n v="64770"/>
    <n v="9083"/>
    <n v="0.27"/>
    <n v="45.2"/>
    <n v="35.1"/>
    <n v="41.1"/>
    <n v="32.5"/>
    <n v="29.3"/>
    <n v="31.1"/>
    <n v="31.4"/>
    <n v="21.8"/>
    <n v="13"/>
    <n v="2.7"/>
    <n v="17"/>
    <n v="33.5"/>
    <n v="28.5"/>
    <n v="21.1"/>
    <n v="41.2"/>
    <n v="58.8"/>
    <n v="70.2"/>
    <n v="22.3"/>
    <n v="27.7"/>
    <n v="4"/>
    <n v="0.3"/>
  </r>
  <r>
    <x v="0"/>
    <x v="0"/>
    <s v="Western Europe"/>
    <x v="0"/>
    <x v="7"/>
    <x v="7"/>
    <n v="11693"/>
    <n v="76463"/>
    <n v="9888"/>
    <n v="0.32"/>
    <n v="47.4"/>
    <n v="35.200000000000003"/>
    <n v="41.5"/>
    <n v="33.200000000000003"/>
    <n v="28.4"/>
    <n v="29.4"/>
    <n v="29.4"/>
    <n v="23.5"/>
    <n v="12.7"/>
    <n v="5"/>
    <n v="18.2"/>
    <n v="34.200000000000003"/>
    <n v="27.8"/>
    <n v="19.8"/>
    <n v="41.8"/>
    <n v="58.2"/>
    <n v="74.5"/>
    <n v="34.1"/>
    <n v="31"/>
    <n v="4.4000000000000004"/>
    <n v="0.38"/>
  </r>
  <r>
    <x v="0"/>
    <x v="0"/>
    <s v="Western Europe"/>
    <x v="0"/>
    <x v="8"/>
    <x v="8"/>
    <n v="12137"/>
    <n v="88600"/>
    <n v="10198"/>
    <n v="0.23"/>
    <n v="44.8"/>
    <n v="34.299999999999997"/>
    <n v="42"/>
    <n v="32.299999999999997"/>
    <n v="28.6"/>
    <n v="32.799999999999997"/>
    <n v="32.1"/>
    <n v="20.8"/>
    <n v="9.3000000000000007"/>
    <n v="5"/>
    <n v="17.2"/>
    <n v="33.200000000000003"/>
    <n v="29.2"/>
    <n v="20.399999999999999"/>
    <n v="44.4"/>
    <n v="55.6"/>
    <n v="72.099999999999994"/>
    <n v="26.5"/>
    <n v="29.5"/>
    <n v="4.8"/>
    <n v="0.38"/>
  </r>
  <r>
    <x v="0"/>
    <x v="0"/>
    <s v="Western Europe"/>
    <x v="0"/>
    <x v="9"/>
    <x v="9"/>
    <n v="11783"/>
    <n v="100383"/>
    <n v="9951"/>
    <n v="0.2"/>
    <n v="45"/>
    <n v="34.200000000000003"/>
    <n v="43.1"/>
    <n v="33"/>
    <n v="29"/>
    <n v="33.200000000000003"/>
    <n v="30.5"/>
    <n v="22.1"/>
    <n v="9.1999999999999993"/>
    <n v="5"/>
    <n v="19.100000000000001"/>
    <n v="34.200000000000003"/>
    <n v="28.4"/>
    <n v="18.3"/>
    <n v="40.6"/>
    <n v="59.4"/>
    <n v="71.8"/>
    <n v="24.4"/>
    <n v="25.2"/>
    <n v="4"/>
    <n v="0.36"/>
  </r>
  <r>
    <x v="0"/>
    <x v="0"/>
    <s v="Western Europe"/>
    <x v="0"/>
    <x v="10"/>
    <x v="10"/>
    <n v="11791"/>
    <n v="112174"/>
    <n v="10274"/>
    <n v="0.27"/>
    <n v="45"/>
    <n v="35"/>
    <n v="40.5"/>
    <n v="33"/>
    <n v="32.1"/>
    <n v="37.1"/>
    <n v="28.6"/>
    <n v="19.8"/>
    <n v="9.5"/>
    <n v="5"/>
    <n v="14.1"/>
    <n v="30.6"/>
    <n v="29.4"/>
    <n v="25.9"/>
    <n v="40.4"/>
    <n v="59.6"/>
    <n v="74.8"/>
    <n v="22.3"/>
    <n v="29.8"/>
    <n v="4.7"/>
    <n v="0.37"/>
  </r>
  <r>
    <x v="0"/>
    <x v="0"/>
    <s v="Western Europe"/>
    <x v="0"/>
    <x v="11"/>
    <x v="11"/>
    <n v="12736"/>
    <n v="124910"/>
    <n v="10659"/>
    <n v="0.2"/>
    <n v="46.8"/>
    <n v="34.799999999999997"/>
    <n v="42.2"/>
    <n v="32.5"/>
    <n v="31.8"/>
    <n v="32"/>
    <n v="31"/>
    <n v="19.899999999999999"/>
    <n v="13.5"/>
    <n v="3.6"/>
    <n v="16.3"/>
    <n v="30.1"/>
    <n v="30.5"/>
    <n v="23.1"/>
    <n v="40.5"/>
    <n v="59.5"/>
    <n v="75.599999999999994"/>
    <n v="35.299999999999997"/>
    <n v="26.9"/>
    <n v="4.4000000000000004"/>
    <n v="0.38"/>
  </r>
  <r>
    <x v="0"/>
    <x v="0"/>
    <s v="Western Europe"/>
    <x v="1"/>
    <x v="0"/>
    <x v="12"/>
    <n v="13090"/>
    <n v="138000"/>
    <n v="11353"/>
    <n v="0.19"/>
    <n v="46"/>
    <n v="31.5"/>
    <n v="42.5"/>
    <n v="34.9"/>
    <n v="30.5"/>
    <n v="35.5"/>
    <n v="30.9"/>
    <n v="19.2"/>
    <n v="9.4"/>
    <n v="5"/>
    <n v="19.899999999999999"/>
    <n v="32.200000000000003"/>
    <n v="27.9"/>
    <n v="20"/>
    <n v="44.9"/>
    <n v="55.1"/>
    <n v="75.900000000000006"/>
    <n v="32.5"/>
    <n v="24.5"/>
    <n v="4.7"/>
    <n v="0.31"/>
  </r>
  <r>
    <x v="1"/>
    <x v="1"/>
    <s v="South America"/>
    <x v="0"/>
    <x v="0"/>
    <x v="0"/>
    <n v="15604"/>
    <n v="15604"/>
    <n v="12805"/>
    <n v="0.25"/>
    <n v="44.7"/>
    <n v="34.700000000000003"/>
    <n v="34.299999999999997"/>
    <n v="32.200000000000003"/>
    <n v="22.7"/>
    <n v="28.4"/>
    <n v="31.4"/>
    <n v="21.2"/>
    <n v="14"/>
    <n v="5"/>
    <n v="14.4"/>
    <n v="33.299999999999997"/>
    <n v="30.8"/>
    <n v="21.4"/>
    <n v="43.1"/>
    <n v="56.9"/>
    <n v="73.599999999999994"/>
    <n v="28.4"/>
    <n v="27.5"/>
    <n v="4.7"/>
    <n v="0.39"/>
  </r>
  <r>
    <x v="1"/>
    <x v="1"/>
    <s v="South America"/>
    <x v="0"/>
    <x v="1"/>
    <x v="1"/>
    <n v="16704"/>
    <n v="32308"/>
    <n v="14318"/>
    <n v="0.22"/>
    <n v="45.1"/>
    <n v="34.4"/>
    <n v="34.200000000000003"/>
    <n v="29.8"/>
    <n v="24.7"/>
    <n v="33.5"/>
    <n v="30.9"/>
    <n v="21.5"/>
    <n v="12.1"/>
    <n v="2"/>
    <n v="16.5"/>
    <n v="35.6"/>
    <n v="30.3"/>
    <n v="17.600000000000001"/>
    <n v="40.299999999999997"/>
    <n v="59.7"/>
    <n v="71"/>
    <n v="33.299999999999997"/>
    <n v="31.8"/>
    <n v="4.5999999999999996"/>
    <n v="0.38"/>
  </r>
  <r>
    <x v="1"/>
    <x v="1"/>
    <s v="South America"/>
    <x v="0"/>
    <x v="2"/>
    <x v="2"/>
    <n v="17935"/>
    <n v="50243"/>
    <n v="15153"/>
    <n v="0.22"/>
    <n v="44.7"/>
    <n v="33.200000000000003"/>
    <n v="36"/>
    <n v="33.799999999999997"/>
    <n v="23.4"/>
    <n v="30.9"/>
    <n v="30.8"/>
    <n v="22.5"/>
    <n v="10.8"/>
    <n v="5"/>
    <n v="14.7"/>
    <n v="34"/>
    <n v="28.6"/>
    <n v="22.7"/>
    <n v="44.6"/>
    <n v="55.4"/>
    <n v="74.8"/>
    <n v="29.7"/>
    <n v="26.7"/>
    <n v="4.5"/>
    <n v="0.36"/>
  </r>
  <r>
    <x v="1"/>
    <x v="1"/>
    <s v="South America"/>
    <x v="0"/>
    <x v="3"/>
    <x v="3"/>
    <n v="18614"/>
    <n v="68857"/>
    <n v="15501"/>
    <n v="0.2"/>
    <n v="44.5"/>
    <n v="31.4"/>
    <n v="33.700000000000003"/>
    <n v="31.8"/>
    <n v="25.2"/>
    <n v="35.4"/>
    <n v="29"/>
    <n v="19.5"/>
    <n v="11.3"/>
    <n v="4.8"/>
    <n v="19.899999999999999"/>
    <n v="33"/>
    <n v="27.6"/>
    <n v="19.5"/>
    <n v="43.8"/>
    <n v="56.2"/>
    <n v="68.599999999999994"/>
    <n v="23.8"/>
    <n v="21.5"/>
    <n v="4"/>
    <n v="0.39"/>
  </r>
  <r>
    <x v="1"/>
    <x v="1"/>
    <s v="South America"/>
    <x v="0"/>
    <x v="4"/>
    <x v="4"/>
    <n v="18908"/>
    <n v="87765"/>
    <n v="16261"/>
    <n v="0.2"/>
    <n v="45.1"/>
    <n v="34"/>
    <n v="33.4"/>
    <n v="31.1"/>
    <n v="22.4"/>
    <n v="33"/>
    <n v="26.5"/>
    <n v="23.2"/>
    <n v="13.6"/>
    <n v="3.6"/>
    <n v="14.4"/>
    <n v="31.7"/>
    <n v="30"/>
    <n v="23.9"/>
    <n v="44.5"/>
    <n v="55.5"/>
    <n v="69.7"/>
    <n v="27.2"/>
    <n v="25.8"/>
    <n v="3.6"/>
    <n v="0.33"/>
  </r>
  <r>
    <x v="1"/>
    <x v="1"/>
    <s v="South America"/>
    <x v="0"/>
    <x v="5"/>
    <x v="5"/>
    <n v="20629"/>
    <n v="108394"/>
    <n v="18023"/>
    <n v="0.25"/>
    <n v="46.1"/>
    <n v="33.200000000000003"/>
    <n v="34.6"/>
    <n v="31.7"/>
    <n v="23.5"/>
    <n v="33.6"/>
    <n v="30.9"/>
    <n v="21.1"/>
    <n v="9.4"/>
    <n v="5"/>
    <n v="17.2"/>
    <n v="33.5"/>
    <n v="29.7"/>
    <n v="19.5"/>
    <n v="42.6"/>
    <n v="57.4"/>
    <n v="70.3"/>
    <n v="27.1"/>
    <n v="27.8"/>
    <n v="3.9"/>
    <n v="0.31"/>
  </r>
  <r>
    <x v="1"/>
    <x v="1"/>
    <s v="South America"/>
    <x v="0"/>
    <x v="6"/>
    <x v="6"/>
    <n v="19748"/>
    <n v="128142"/>
    <n v="16484"/>
    <n v="0.2"/>
    <n v="45.1"/>
    <n v="31.8"/>
    <n v="36.200000000000003"/>
    <n v="31.3"/>
    <n v="24.9"/>
    <n v="29.5"/>
    <n v="30.1"/>
    <n v="23.7"/>
    <n v="11.8"/>
    <n v="5"/>
    <n v="17.399999999999999"/>
    <n v="31.7"/>
    <n v="29.8"/>
    <n v="21"/>
    <n v="41.1"/>
    <n v="58.9"/>
    <n v="71.400000000000006"/>
    <n v="29.1"/>
    <n v="22.9"/>
    <n v="3.8"/>
    <n v="0.35"/>
  </r>
  <r>
    <x v="1"/>
    <x v="1"/>
    <s v="South America"/>
    <x v="0"/>
    <x v="7"/>
    <x v="7"/>
    <n v="21985"/>
    <n v="150127"/>
    <n v="18096"/>
    <n v="0.23"/>
    <n v="44.9"/>
    <n v="34.1"/>
    <n v="34"/>
    <n v="34.5"/>
    <n v="24.2"/>
    <n v="35.5"/>
    <n v="26.6"/>
    <n v="22.2"/>
    <n v="13.7"/>
    <n v="2"/>
    <n v="15.1"/>
    <n v="30.4"/>
    <n v="29.7"/>
    <n v="24.8"/>
    <n v="43.4"/>
    <n v="56.6"/>
    <n v="69.099999999999994"/>
    <n v="33.1"/>
    <n v="22.4"/>
    <n v="4.2"/>
    <n v="0.34"/>
  </r>
  <r>
    <x v="1"/>
    <x v="1"/>
    <s v="South America"/>
    <x v="0"/>
    <x v="8"/>
    <x v="8"/>
    <n v="24210"/>
    <n v="174337"/>
    <n v="20422"/>
    <n v="0.28999999999999998"/>
    <n v="45.8"/>
    <n v="34.6"/>
    <n v="34.1"/>
    <n v="34.6"/>
    <n v="25.6"/>
    <n v="33.9"/>
    <n v="28.7"/>
    <n v="19.5"/>
    <n v="13"/>
    <n v="5"/>
    <n v="17.7"/>
    <n v="33.200000000000003"/>
    <n v="30.5"/>
    <n v="18.600000000000001"/>
    <n v="44.7"/>
    <n v="55.3"/>
    <n v="70.5"/>
    <n v="25.5"/>
    <n v="28.9"/>
    <n v="4"/>
    <n v="0.38"/>
  </r>
  <r>
    <x v="1"/>
    <x v="1"/>
    <s v="South America"/>
    <x v="0"/>
    <x v="9"/>
    <x v="9"/>
    <n v="21410"/>
    <n v="195747"/>
    <n v="18643"/>
    <n v="0.2"/>
    <n v="45.7"/>
    <n v="33.1"/>
    <n v="34"/>
    <n v="34.799999999999997"/>
    <n v="26.9"/>
    <n v="31.8"/>
    <n v="29.2"/>
    <n v="24.2"/>
    <n v="9.8000000000000007"/>
    <n v="5"/>
    <n v="17.5"/>
    <n v="33"/>
    <n v="29.1"/>
    <n v="20.399999999999999"/>
    <n v="40.1"/>
    <n v="59.9"/>
    <n v="75.5"/>
    <n v="29.9"/>
    <n v="28.4"/>
    <n v="4.3"/>
    <n v="0.34"/>
  </r>
  <r>
    <x v="1"/>
    <x v="1"/>
    <s v="South America"/>
    <x v="0"/>
    <x v="10"/>
    <x v="10"/>
    <n v="24444"/>
    <n v="220191"/>
    <n v="21414"/>
    <n v="0.31"/>
    <n v="45.9"/>
    <n v="30.8"/>
    <n v="36.6"/>
    <n v="32.700000000000003"/>
    <n v="28.1"/>
    <n v="31.1"/>
    <n v="28.7"/>
    <n v="21.6"/>
    <n v="13.6"/>
    <n v="5"/>
    <n v="16.100000000000001"/>
    <n v="32.1"/>
    <n v="29.7"/>
    <n v="22.2"/>
    <n v="42.7"/>
    <n v="57.3"/>
    <n v="71.599999999999994"/>
    <n v="24"/>
    <n v="22.1"/>
    <n v="4.3"/>
    <n v="0.36"/>
  </r>
  <r>
    <x v="1"/>
    <x v="1"/>
    <s v="South America"/>
    <x v="0"/>
    <x v="11"/>
    <x v="11"/>
    <n v="22383"/>
    <n v="242574"/>
    <n v="19245"/>
    <n v="0.2"/>
    <n v="47.4"/>
    <n v="30.9"/>
    <n v="33.700000000000003"/>
    <n v="36.5"/>
    <n v="26.8"/>
    <n v="32.799999999999997"/>
    <n v="30.2"/>
    <n v="19.2"/>
    <n v="12.9"/>
    <n v="5"/>
    <n v="16.7"/>
    <n v="33.1"/>
    <n v="28.2"/>
    <n v="21.9"/>
    <n v="42.4"/>
    <n v="57.6"/>
    <n v="69.2"/>
    <n v="24.5"/>
    <n v="30.3"/>
    <n v="4.0999999999999996"/>
    <n v="0.3"/>
  </r>
  <r>
    <x v="1"/>
    <x v="1"/>
    <s v="South America"/>
    <x v="1"/>
    <x v="0"/>
    <x v="12"/>
    <n v="23620"/>
    <n v="266194"/>
    <n v="20383"/>
    <n v="0.27"/>
    <n v="44.6"/>
    <n v="34.200000000000003"/>
    <n v="36.200000000000003"/>
    <n v="32.9"/>
    <n v="25.6"/>
    <n v="34.6"/>
    <n v="28.4"/>
    <n v="22"/>
    <n v="10"/>
    <n v="4.9000000000000004"/>
    <n v="15.8"/>
    <n v="35.4"/>
    <n v="26.1"/>
    <n v="22.8"/>
    <n v="40.5"/>
    <n v="59.5"/>
    <n v="68.2"/>
    <n v="24.5"/>
    <n v="27"/>
    <n v="3.9"/>
    <n v="0.34"/>
  </r>
  <r>
    <x v="2"/>
    <x v="0"/>
    <s v="Western Europe"/>
    <x v="0"/>
    <x v="0"/>
    <x v="0"/>
    <n v="17356"/>
    <n v="17356"/>
    <n v="14511"/>
    <n v="0.27"/>
    <n v="45.7"/>
    <n v="33.6"/>
    <n v="40.5"/>
    <n v="29.4"/>
    <n v="25.9"/>
    <n v="33.799999999999997"/>
    <n v="30.9"/>
    <n v="20.6"/>
    <n v="9.6999999999999993"/>
    <n v="5"/>
    <n v="19"/>
    <n v="35.9"/>
    <n v="28.6"/>
    <n v="16.5"/>
    <n v="41"/>
    <n v="59"/>
    <n v="68.099999999999994"/>
    <n v="34.799999999999997"/>
    <n v="21.4"/>
    <n v="4.5999999999999996"/>
    <n v="0.32"/>
  </r>
  <r>
    <x v="2"/>
    <x v="0"/>
    <s v="Western Europe"/>
    <x v="0"/>
    <x v="1"/>
    <x v="1"/>
    <n v="16983"/>
    <n v="34339"/>
    <n v="14065"/>
    <n v="0.31"/>
    <n v="47.1"/>
    <n v="34.9"/>
    <n v="42.1"/>
    <n v="26.6"/>
    <n v="26.9"/>
    <n v="32.4"/>
    <n v="30.2"/>
    <n v="21.6"/>
    <n v="10.8"/>
    <n v="5"/>
    <n v="18.3"/>
    <n v="31.8"/>
    <n v="28.8"/>
    <n v="21.1"/>
    <n v="42.9"/>
    <n v="57.1"/>
    <n v="75.5"/>
    <n v="32.299999999999997"/>
    <n v="22.6"/>
    <n v="4.2"/>
    <n v="0.36"/>
  </r>
  <r>
    <x v="2"/>
    <x v="0"/>
    <s v="Western Europe"/>
    <x v="0"/>
    <x v="2"/>
    <x v="2"/>
    <n v="19217"/>
    <n v="53556"/>
    <n v="16646"/>
    <n v="0.19"/>
    <n v="44.7"/>
    <n v="36.200000000000003"/>
    <n v="42.4"/>
    <n v="27.9"/>
    <n v="24.6"/>
    <n v="30.5"/>
    <n v="32.799999999999997"/>
    <n v="21.8"/>
    <n v="9.9"/>
    <n v="5"/>
    <n v="17.3"/>
    <n v="35.200000000000003"/>
    <n v="29.7"/>
    <n v="17.8"/>
    <n v="44.8"/>
    <n v="55.2"/>
    <n v="73.5"/>
    <n v="33.9"/>
    <n v="23"/>
    <n v="3.6"/>
    <n v="0.37"/>
  </r>
  <r>
    <x v="2"/>
    <x v="0"/>
    <s v="Western Europe"/>
    <x v="0"/>
    <x v="3"/>
    <x v="3"/>
    <n v="21084"/>
    <n v="74640"/>
    <n v="17517"/>
    <n v="0.26"/>
    <n v="47.2"/>
    <n v="34.9"/>
    <n v="40.9"/>
    <n v="30.2"/>
    <n v="27.9"/>
    <n v="32.799999999999997"/>
    <n v="29"/>
    <n v="20.7"/>
    <n v="12.5"/>
    <n v="5"/>
    <n v="16"/>
    <n v="34.299999999999997"/>
    <n v="26.3"/>
    <n v="23.3"/>
    <n v="41.9"/>
    <n v="58.1"/>
    <n v="74.3"/>
    <n v="26.5"/>
    <n v="27.5"/>
    <n v="4.5999999999999996"/>
    <n v="0.3"/>
  </r>
  <r>
    <x v="2"/>
    <x v="0"/>
    <s v="Western Europe"/>
    <x v="0"/>
    <x v="4"/>
    <x v="4"/>
    <n v="22040"/>
    <n v="96680"/>
    <n v="18772"/>
    <n v="0.31"/>
    <n v="46.9"/>
    <n v="33.5"/>
    <n v="43"/>
    <n v="28.4"/>
    <n v="26.3"/>
    <n v="32"/>
    <n v="30.5"/>
    <n v="22.1"/>
    <n v="10.5"/>
    <n v="5"/>
    <n v="15.4"/>
    <n v="30.3"/>
    <n v="26.1"/>
    <n v="28.3"/>
    <n v="45.9"/>
    <n v="54.1"/>
    <n v="71.099999999999994"/>
    <n v="31.5"/>
    <n v="22.6"/>
    <n v="4.7"/>
    <n v="0.39"/>
  </r>
  <r>
    <x v="2"/>
    <x v="0"/>
    <s v="Western Europe"/>
    <x v="0"/>
    <x v="5"/>
    <x v="5"/>
    <n v="21732"/>
    <n v="118412"/>
    <n v="18620"/>
    <n v="0.2"/>
    <n v="47.5"/>
    <n v="36.4"/>
    <n v="42.6"/>
    <n v="29.5"/>
    <n v="26.9"/>
    <n v="34.1"/>
    <n v="30.8"/>
    <n v="23.2"/>
    <n v="9.9"/>
    <n v="2"/>
    <n v="16.399999999999999"/>
    <n v="34.5"/>
    <n v="29.5"/>
    <n v="19.600000000000001"/>
    <n v="40.9"/>
    <n v="59.1"/>
    <n v="69.8"/>
    <n v="25.1"/>
    <n v="26.4"/>
    <n v="3.9"/>
    <n v="0.31"/>
  </r>
  <r>
    <x v="2"/>
    <x v="0"/>
    <s v="Western Europe"/>
    <x v="0"/>
    <x v="6"/>
    <x v="6"/>
    <n v="24324"/>
    <n v="142736"/>
    <n v="21340"/>
    <n v="0.3"/>
    <n v="46.9"/>
    <n v="35.9"/>
    <n v="40.5"/>
    <n v="29"/>
    <n v="26.7"/>
    <n v="32"/>
    <n v="28.9"/>
    <n v="21.6"/>
    <n v="13.1"/>
    <n v="4.5"/>
    <n v="16.100000000000001"/>
    <n v="34.1"/>
    <n v="28.8"/>
    <n v="21"/>
    <n v="41.6"/>
    <n v="58.4"/>
    <n v="74.400000000000006"/>
    <n v="31.2"/>
    <n v="30.2"/>
    <n v="4.4000000000000004"/>
    <n v="0.36"/>
  </r>
  <r>
    <x v="2"/>
    <x v="0"/>
    <s v="Western Europe"/>
    <x v="0"/>
    <x v="7"/>
    <x v="7"/>
    <n v="24921"/>
    <n v="167657"/>
    <n v="20672"/>
    <n v="0.3"/>
    <n v="47.1"/>
    <n v="36.4"/>
    <n v="40.9"/>
    <n v="29"/>
    <n v="28.6"/>
    <n v="33.4"/>
    <n v="27.8"/>
    <n v="22.1"/>
    <n v="11.7"/>
    <n v="5"/>
    <n v="18.7"/>
    <n v="30.6"/>
    <n v="29.8"/>
    <n v="20.9"/>
    <n v="43.2"/>
    <n v="56.8"/>
    <n v="70.7"/>
    <n v="30.9"/>
    <n v="31.2"/>
    <n v="4"/>
    <n v="0.37"/>
  </r>
  <r>
    <x v="2"/>
    <x v="0"/>
    <s v="Western Europe"/>
    <x v="0"/>
    <x v="8"/>
    <x v="8"/>
    <n v="23274"/>
    <n v="190931"/>
    <n v="19897"/>
    <n v="0.23"/>
    <n v="46.4"/>
    <n v="35.200000000000003"/>
    <n v="44.4"/>
    <n v="31.9"/>
    <n v="29"/>
    <n v="31.8"/>
    <n v="27.8"/>
    <n v="24.2"/>
    <n v="11.1"/>
    <n v="5"/>
    <n v="16.7"/>
    <n v="31"/>
    <n v="30"/>
    <n v="22.3"/>
    <n v="44.2"/>
    <n v="55.8"/>
    <n v="68.7"/>
    <n v="31.5"/>
    <n v="27.9"/>
    <n v="4.7"/>
    <n v="0.34"/>
  </r>
  <r>
    <x v="2"/>
    <x v="0"/>
    <s v="Western Europe"/>
    <x v="0"/>
    <x v="9"/>
    <x v="9"/>
    <n v="25559"/>
    <n v="216490"/>
    <n v="21568"/>
    <n v="0.22"/>
    <n v="47.5"/>
    <n v="35.6"/>
    <n v="41.6"/>
    <n v="29.2"/>
    <n v="26.5"/>
    <n v="33.4"/>
    <n v="30.5"/>
    <n v="22"/>
    <n v="12.1"/>
    <n v="2"/>
    <n v="14.8"/>
    <n v="30.2"/>
    <n v="30.6"/>
    <n v="24.4"/>
    <n v="43.7"/>
    <n v="56.3"/>
    <n v="71.900000000000006"/>
    <n v="23.6"/>
    <n v="21.5"/>
    <n v="3.7"/>
    <n v="0.36"/>
  </r>
  <r>
    <x v="2"/>
    <x v="0"/>
    <s v="Western Europe"/>
    <x v="0"/>
    <x v="10"/>
    <x v="10"/>
    <n v="24841"/>
    <n v="241331"/>
    <n v="21558"/>
    <n v="0.22"/>
    <n v="45.9"/>
    <n v="33.5"/>
    <n v="42.4"/>
    <n v="30.5"/>
    <n v="29.2"/>
    <n v="35.9"/>
    <n v="26.9"/>
    <n v="21"/>
    <n v="12.1"/>
    <n v="4.2"/>
    <n v="18.2"/>
    <n v="33.4"/>
    <n v="26"/>
    <n v="22.4"/>
    <n v="42"/>
    <n v="58"/>
    <n v="68.7"/>
    <n v="26.9"/>
    <n v="20.399999999999999"/>
    <n v="4.4000000000000004"/>
    <n v="0.38"/>
  </r>
  <r>
    <x v="2"/>
    <x v="0"/>
    <s v="Western Europe"/>
    <x v="0"/>
    <x v="11"/>
    <x v="11"/>
    <n v="25309"/>
    <n v="266640"/>
    <n v="21007"/>
    <n v="0.19"/>
    <n v="46.4"/>
    <n v="36.1"/>
    <n v="44.7"/>
    <n v="29.1"/>
    <n v="29.4"/>
    <n v="32.4"/>
    <n v="30.9"/>
    <n v="20.7"/>
    <n v="12.2"/>
    <n v="3.8"/>
    <n v="17.2"/>
    <n v="34.4"/>
    <n v="26.4"/>
    <n v="22"/>
    <n v="40.4"/>
    <n v="59.6"/>
    <n v="69.3"/>
    <n v="34.200000000000003"/>
    <n v="22.6"/>
    <n v="4.4000000000000004"/>
    <n v="0.35"/>
  </r>
  <r>
    <x v="2"/>
    <x v="0"/>
    <s v="Western Europe"/>
    <x v="1"/>
    <x v="0"/>
    <x v="12"/>
    <n v="27616"/>
    <n v="294256"/>
    <n v="23836"/>
    <n v="0.21"/>
    <n v="47.5"/>
    <n v="33.9"/>
    <n v="41.9"/>
    <n v="31.9"/>
    <n v="27.9"/>
    <n v="31.2"/>
    <n v="32.1"/>
    <n v="18.399999999999999"/>
    <n v="13.3"/>
    <n v="5"/>
    <n v="17.5"/>
    <n v="32.6"/>
    <n v="29.6"/>
    <n v="20.3"/>
    <n v="42.9"/>
    <n v="57.1"/>
    <n v="75.2"/>
    <n v="27.9"/>
    <n v="23.3"/>
    <n v="4.4000000000000004"/>
    <n v="0.37"/>
  </r>
  <r>
    <x v="3"/>
    <x v="0"/>
    <s v="Southern Europe"/>
    <x v="0"/>
    <x v="0"/>
    <x v="0"/>
    <n v="11036"/>
    <n v="11036"/>
    <n v="9523"/>
    <n v="0.31"/>
    <n v="45"/>
    <n v="36.4"/>
    <n v="35.799999999999997"/>
    <n v="27.8"/>
    <n v="20.100000000000001"/>
    <n v="35.799999999999997"/>
    <n v="27.5"/>
    <n v="21.9"/>
    <n v="10.6"/>
    <n v="4.0999999999999996"/>
    <n v="18.600000000000001"/>
    <n v="30.8"/>
    <n v="30.8"/>
    <n v="19.7"/>
    <n v="42.7"/>
    <n v="57.3"/>
    <n v="68.599999999999994"/>
    <n v="24.4"/>
    <n v="26.2"/>
    <n v="4.3"/>
    <n v="0.37"/>
  </r>
  <r>
    <x v="3"/>
    <x v="0"/>
    <s v="Southern Europe"/>
    <x v="0"/>
    <x v="1"/>
    <x v="1"/>
    <n v="11957"/>
    <n v="22993"/>
    <n v="9924"/>
    <n v="0.19"/>
    <n v="46.7"/>
    <n v="35"/>
    <n v="38.6"/>
    <n v="27.9"/>
    <n v="20.8"/>
    <n v="30.2"/>
    <n v="29.7"/>
    <n v="24.5"/>
    <n v="10.6"/>
    <n v="5"/>
    <n v="17"/>
    <n v="30.2"/>
    <n v="26.7"/>
    <n v="26"/>
    <n v="45.9"/>
    <n v="54.1"/>
    <n v="68"/>
    <n v="35.299999999999997"/>
    <n v="27.7"/>
    <n v="4.4000000000000004"/>
    <n v="0.31"/>
  </r>
  <r>
    <x v="3"/>
    <x v="0"/>
    <s v="Southern Europe"/>
    <x v="0"/>
    <x v="2"/>
    <x v="2"/>
    <n v="12514"/>
    <n v="35507"/>
    <n v="10492"/>
    <n v="0.28000000000000003"/>
    <n v="45.1"/>
    <n v="37.299999999999997"/>
    <n v="35.799999999999997"/>
    <n v="27.7"/>
    <n v="20.7"/>
    <n v="35"/>
    <n v="29.4"/>
    <n v="18.2"/>
    <n v="13.7"/>
    <n v="3.8"/>
    <n v="18.100000000000001"/>
    <n v="34.1"/>
    <n v="27.1"/>
    <n v="20.7"/>
    <n v="44"/>
    <n v="56"/>
    <n v="73.2"/>
    <n v="23.5"/>
    <n v="27.9"/>
    <n v="4.5999999999999996"/>
    <n v="0.38"/>
  </r>
  <r>
    <x v="3"/>
    <x v="0"/>
    <s v="Southern Europe"/>
    <x v="0"/>
    <x v="3"/>
    <x v="3"/>
    <n v="13677"/>
    <n v="49184"/>
    <n v="11821"/>
    <n v="0.3"/>
    <n v="45.7"/>
    <n v="36.4"/>
    <n v="38.799999999999997"/>
    <n v="28.3"/>
    <n v="22.5"/>
    <n v="34.5"/>
    <n v="29"/>
    <n v="21.4"/>
    <n v="10.199999999999999"/>
    <n v="5"/>
    <n v="16.2"/>
    <n v="31.4"/>
    <n v="26.4"/>
    <n v="26"/>
    <n v="43.6"/>
    <n v="56.4"/>
    <n v="73"/>
    <n v="28.5"/>
    <n v="24.6"/>
    <n v="4"/>
    <n v="0.34"/>
  </r>
  <r>
    <x v="3"/>
    <x v="0"/>
    <s v="Southern Europe"/>
    <x v="0"/>
    <x v="4"/>
    <x v="4"/>
    <n v="14023"/>
    <n v="63207"/>
    <n v="11987"/>
    <n v="0.25"/>
    <n v="46.3"/>
    <n v="38.5"/>
    <n v="38.6"/>
    <n v="29.4"/>
    <n v="19.8"/>
    <n v="33.4"/>
    <n v="28.5"/>
    <n v="22.8"/>
    <n v="10.3"/>
    <n v="5"/>
    <n v="15.7"/>
    <n v="31.8"/>
    <n v="30"/>
    <n v="22.4"/>
    <n v="43.2"/>
    <n v="56.8"/>
    <n v="72.900000000000006"/>
    <n v="32"/>
    <n v="23.3"/>
    <n v="3.8"/>
    <n v="0.35"/>
  </r>
  <r>
    <x v="3"/>
    <x v="0"/>
    <s v="Southern Europe"/>
    <x v="0"/>
    <x v="5"/>
    <x v="5"/>
    <n v="15476"/>
    <n v="78683"/>
    <n v="12789"/>
    <n v="0.26"/>
    <n v="45.3"/>
    <n v="37.200000000000003"/>
    <n v="39.1"/>
    <n v="28.1"/>
    <n v="20.3"/>
    <n v="31.3"/>
    <n v="31"/>
    <n v="23.4"/>
    <n v="10.8"/>
    <n v="3.5"/>
    <n v="15.4"/>
    <n v="34.700000000000003"/>
    <n v="27.4"/>
    <n v="22.5"/>
    <n v="44.9"/>
    <n v="55.1"/>
    <n v="73.3"/>
    <n v="23.3"/>
    <n v="27.5"/>
    <n v="4.5999999999999996"/>
    <n v="0.32"/>
  </r>
  <r>
    <x v="3"/>
    <x v="0"/>
    <s v="Southern Europe"/>
    <x v="0"/>
    <x v="6"/>
    <x v="6"/>
    <n v="14682"/>
    <n v="93365"/>
    <n v="12060"/>
    <n v="0.27"/>
    <n v="46.3"/>
    <n v="38.799999999999997"/>
    <n v="37.6"/>
    <n v="28.6"/>
    <n v="22.5"/>
    <n v="31.1"/>
    <n v="28.2"/>
    <n v="23.9"/>
    <n v="11.9"/>
    <n v="5"/>
    <n v="15.6"/>
    <n v="30.5"/>
    <n v="26.4"/>
    <n v="27.5"/>
    <n v="45.4"/>
    <n v="54.6"/>
    <n v="70.599999999999994"/>
    <n v="25.2"/>
    <n v="24.3"/>
    <n v="3.9"/>
    <n v="0.35"/>
  </r>
  <r>
    <x v="3"/>
    <x v="0"/>
    <s v="Southern Europe"/>
    <x v="0"/>
    <x v="7"/>
    <x v="7"/>
    <n v="17417"/>
    <n v="110782"/>
    <n v="14962"/>
    <n v="0.25"/>
    <n v="45.5"/>
    <n v="35.6"/>
    <n v="40.1"/>
    <n v="29.1"/>
    <n v="23.1"/>
    <n v="33.299999999999997"/>
    <n v="27.4"/>
    <n v="21.5"/>
    <n v="12.8"/>
    <n v="5"/>
    <n v="16.100000000000001"/>
    <n v="34"/>
    <n v="30"/>
    <n v="19.899999999999999"/>
    <n v="45.6"/>
    <n v="54.4"/>
    <n v="71.2"/>
    <n v="24.1"/>
    <n v="31.9"/>
    <n v="4.3"/>
    <n v="0.31"/>
  </r>
  <r>
    <x v="3"/>
    <x v="0"/>
    <s v="Southern Europe"/>
    <x v="0"/>
    <x v="8"/>
    <x v="8"/>
    <n v="17841"/>
    <n v="128623"/>
    <n v="14766"/>
    <n v="0.3"/>
    <n v="46.8"/>
    <n v="36.9"/>
    <n v="37.5"/>
    <n v="27.9"/>
    <n v="22.7"/>
    <n v="33.9"/>
    <n v="27.9"/>
    <n v="22.9"/>
    <n v="13.3"/>
    <n v="2"/>
    <n v="15.3"/>
    <n v="35.6"/>
    <n v="26.6"/>
    <n v="22.6"/>
    <n v="44.9"/>
    <n v="55.1"/>
    <n v="75"/>
    <n v="34.200000000000003"/>
    <n v="29.7"/>
    <n v="3.8"/>
    <n v="0.37"/>
  </r>
  <r>
    <x v="3"/>
    <x v="0"/>
    <s v="Southern Europe"/>
    <x v="0"/>
    <x v="9"/>
    <x v="9"/>
    <n v="16718"/>
    <n v="145341"/>
    <n v="14687"/>
    <n v="0.27"/>
    <n v="47"/>
    <n v="34.9"/>
    <n v="40.1"/>
    <n v="29"/>
    <n v="24.1"/>
    <n v="29.1"/>
    <n v="31.8"/>
    <n v="21.3"/>
    <n v="13.8"/>
    <n v="4"/>
    <n v="16.600000000000001"/>
    <n v="31.9"/>
    <n v="28.5"/>
    <n v="23"/>
    <n v="42.6"/>
    <n v="57.4"/>
    <n v="73.099999999999994"/>
    <n v="25"/>
    <n v="27.4"/>
    <n v="4.2"/>
    <n v="0.31"/>
  </r>
  <r>
    <x v="3"/>
    <x v="0"/>
    <s v="Southern Europe"/>
    <x v="0"/>
    <x v="10"/>
    <x v="10"/>
    <n v="19082"/>
    <n v="164423"/>
    <n v="15713"/>
    <n v="0.28000000000000003"/>
    <n v="47.5"/>
    <n v="37.299999999999997"/>
    <n v="37.1"/>
    <n v="28.6"/>
    <n v="22.5"/>
    <n v="33"/>
    <n v="29.2"/>
    <n v="19.399999999999999"/>
    <n v="13.4"/>
    <n v="5"/>
    <n v="16.7"/>
    <n v="31.2"/>
    <n v="27.8"/>
    <n v="24.3"/>
    <n v="42.5"/>
    <n v="57.5"/>
    <n v="73.900000000000006"/>
    <n v="32.799999999999997"/>
    <n v="20.100000000000001"/>
    <n v="4.5"/>
    <n v="0.31"/>
  </r>
  <r>
    <x v="3"/>
    <x v="0"/>
    <s v="Southern Europe"/>
    <x v="0"/>
    <x v="11"/>
    <x v="11"/>
    <n v="18326"/>
    <n v="182749"/>
    <n v="15263"/>
    <n v="0.18"/>
    <n v="45.2"/>
    <n v="37.700000000000003"/>
    <n v="40.6"/>
    <n v="29.7"/>
    <n v="22.9"/>
    <n v="33.1"/>
    <n v="29.2"/>
    <n v="21.3"/>
    <n v="11.3"/>
    <n v="5"/>
    <n v="18.7"/>
    <n v="35.4"/>
    <n v="30.8"/>
    <n v="15.2"/>
    <n v="44.7"/>
    <n v="55.3"/>
    <n v="73.5"/>
    <n v="28.1"/>
    <n v="23.1"/>
    <n v="4.4000000000000004"/>
    <n v="0.37"/>
  </r>
  <r>
    <x v="3"/>
    <x v="0"/>
    <s v="Southern Europe"/>
    <x v="1"/>
    <x v="0"/>
    <x v="12"/>
    <n v="19951"/>
    <n v="202700"/>
    <n v="17121"/>
    <n v="0.27"/>
    <n v="44.7"/>
    <n v="37.799999999999997"/>
    <n v="39.799999999999997"/>
    <n v="30"/>
    <n v="25.6"/>
    <n v="32.200000000000003"/>
    <n v="28.8"/>
    <n v="21.1"/>
    <n v="12.9"/>
    <n v="5"/>
    <n v="18"/>
    <n v="31.1"/>
    <n v="26.9"/>
    <n v="24.1"/>
    <n v="40.6"/>
    <n v="59.4"/>
    <n v="74.099999999999994"/>
    <n v="25.7"/>
    <n v="20.3"/>
    <n v="4.3"/>
    <n v="0.34"/>
  </r>
  <r>
    <x v="4"/>
    <x v="0"/>
    <s v="Western Europe"/>
    <x v="0"/>
    <x v="0"/>
    <x v="0"/>
    <n v="13785"/>
    <n v="13785"/>
    <n v="11404"/>
    <n v="0.27"/>
    <n v="46.8"/>
    <n v="36.700000000000003"/>
    <n v="34.9"/>
    <n v="24"/>
    <n v="19.399999999999999"/>
    <n v="31.7"/>
    <n v="32.299999999999997"/>
    <n v="20.100000000000001"/>
    <n v="10.9"/>
    <n v="5"/>
    <n v="16.600000000000001"/>
    <n v="32.6"/>
    <n v="29.1"/>
    <n v="21.7"/>
    <n v="45.7"/>
    <n v="54.3"/>
    <n v="69"/>
    <n v="24.8"/>
    <n v="30.6"/>
    <n v="4.5999999999999996"/>
    <n v="0.39"/>
  </r>
  <r>
    <x v="4"/>
    <x v="0"/>
    <s v="Western Europe"/>
    <x v="0"/>
    <x v="1"/>
    <x v="1"/>
    <n v="14962"/>
    <n v="28747"/>
    <n v="12946"/>
    <n v="0.24"/>
    <n v="47"/>
    <n v="37.1"/>
    <n v="37.5"/>
    <n v="21.1"/>
    <n v="18.8"/>
    <n v="32"/>
    <n v="31"/>
    <n v="22.4"/>
    <n v="11.7"/>
    <n v="2.8"/>
    <n v="17.5"/>
    <n v="33.1"/>
    <n v="27.5"/>
    <n v="21.9"/>
    <n v="43.4"/>
    <n v="56.6"/>
    <n v="75"/>
    <n v="30.9"/>
    <n v="29.1"/>
    <n v="4.5"/>
    <n v="0.4"/>
  </r>
  <r>
    <x v="4"/>
    <x v="0"/>
    <s v="Western Europe"/>
    <x v="0"/>
    <x v="2"/>
    <x v="2"/>
    <n v="15622"/>
    <n v="44369"/>
    <n v="13186"/>
    <n v="0.28999999999999998"/>
    <n v="45.1"/>
    <n v="40"/>
    <n v="37.5"/>
    <n v="21.5"/>
    <n v="18.399999999999999"/>
    <n v="33.6"/>
    <n v="30"/>
    <n v="20.9"/>
    <n v="10.5"/>
    <n v="5"/>
    <n v="19.3"/>
    <n v="36"/>
    <n v="27.8"/>
    <n v="16.899999999999999"/>
    <n v="42.7"/>
    <n v="57.3"/>
    <n v="75.099999999999994"/>
    <n v="30.3"/>
    <n v="24.7"/>
    <n v="4"/>
    <n v="0.38"/>
  </r>
  <r>
    <x v="4"/>
    <x v="0"/>
    <s v="Western Europe"/>
    <x v="0"/>
    <x v="3"/>
    <x v="3"/>
    <n v="15605"/>
    <n v="59974"/>
    <n v="13346"/>
    <n v="0.25"/>
    <n v="46.4"/>
    <n v="37.5"/>
    <n v="37.4"/>
    <n v="23.2"/>
    <n v="19.8"/>
    <n v="33.9"/>
    <n v="30"/>
    <n v="22.5"/>
    <n v="11.6"/>
    <n v="2"/>
    <n v="16.600000000000001"/>
    <n v="30.9"/>
    <n v="27.6"/>
    <n v="24.8"/>
    <n v="42.6"/>
    <n v="57.4"/>
    <n v="69.8"/>
    <n v="30.4"/>
    <n v="28.8"/>
    <n v="4.4000000000000004"/>
    <n v="0.38"/>
  </r>
  <r>
    <x v="4"/>
    <x v="0"/>
    <s v="Western Europe"/>
    <x v="0"/>
    <x v="4"/>
    <x v="4"/>
    <n v="16509"/>
    <n v="76483"/>
    <n v="13943"/>
    <n v="0.3"/>
    <n v="45.7"/>
    <n v="37.200000000000003"/>
    <n v="36"/>
    <n v="22.7"/>
    <n v="19.100000000000001"/>
    <n v="31.4"/>
    <n v="31.2"/>
    <n v="23.1"/>
    <n v="9.9"/>
    <n v="4.3"/>
    <n v="18.8"/>
    <n v="32.700000000000003"/>
    <n v="28.4"/>
    <n v="20"/>
    <n v="40.799999999999997"/>
    <n v="59.2"/>
    <n v="73.8"/>
    <n v="29"/>
    <n v="25.2"/>
    <n v="3.8"/>
    <n v="0.38"/>
  </r>
  <r>
    <x v="4"/>
    <x v="0"/>
    <s v="Western Europe"/>
    <x v="0"/>
    <x v="5"/>
    <x v="5"/>
    <n v="18937"/>
    <n v="95420"/>
    <n v="16615"/>
    <n v="0.19"/>
    <n v="44.7"/>
    <n v="36.5"/>
    <n v="36.4"/>
    <n v="25.2"/>
    <n v="19.2"/>
    <n v="35.5"/>
    <n v="27"/>
    <n v="21.4"/>
    <n v="11.1"/>
    <n v="5"/>
    <n v="16.100000000000001"/>
    <n v="35.4"/>
    <n v="26.1"/>
    <n v="22.4"/>
    <n v="44"/>
    <n v="56"/>
    <n v="72.5"/>
    <n v="35.1"/>
    <n v="20.6"/>
    <n v="3.9"/>
    <n v="0.37"/>
  </r>
  <r>
    <x v="4"/>
    <x v="0"/>
    <s v="Western Europe"/>
    <x v="0"/>
    <x v="6"/>
    <x v="6"/>
    <n v="18428"/>
    <n v="113848"/>
    <n v="15736"/>
    <n v="0.24"/>
    <n v="47.4"/>
    <n v="36.5"/>
    <n v="36.1"/>
    <n v="22.5"/>
    <n v="19.5"/>
    <n v="34.6"/>
    <n v="29.9"/>
    <n v="19.2"/>
    <n v="11.3"/>
    <n v="5"/>
    <n v="16.899999999999999"/>
    <n v="31"/>
    <n v="30.7"/>
    <n v="21.4"/>
    <n v="45.1"/>
    <n v="54.9"/>
    <n v="71.7"/>
    <n v="27.8"/>
    <n v="27.8"/>
    <n v="4.2"/>
    <n v="0.31"/>
  </r>
  <r>
    <x v="4"/>
    <x v="0"/>
    <s v="Western Europe"/>
    <x v="0"/>
    <x v="7"/>
    <x v="7"/>
    <n v="21181"/>
    <n v="135029"/>
    <n v="17624"/>
    <n v="0.22"/>
    <n v="45"/>
    <n v="36.5"/>
    <n v="37.799999999999997"/>
    <n v="23"/>
    <n v="22.5"/>
    <n v="31.7"/>
    <n v="31.5"/>
    <n v="21.2"/>
    <n v="11.5"/>
    <n v="4.0999999999999996"/>
    <n v="14.6"/>
    <n v="33.9"/>
    <n v="30.1"/>
    <n v="21.3"/>
    <n v="42.3"/>
    <n v="57.7"/>
    <n v="75.7"/>
    <n v="24.9"/>
    <n v="26.3"/>
    <n v="4.5999999999999996"/>
    <n v="0.34"/>
  </r>
  <r>
    <x v="4"/>
    <x v="0"/>
    <s v="Western Europe"/>
    <x v="0"/>
    <x v="8"/>
    <x v="8"/>
    <n v="22548"/>
    <n v="157577"/>
    <n v="19210"/>
    <n v="0.2"/>
    <n v="46.6"/>
    <n v="38"/>
    <n v="39.299999999999997"/>
    <n v="26.1"/>
    <n v="20.5"/>
    <n v="32.9"/>
    <n v="26.5"/>
    <n v="23.3"/>
    <n v="13"/>
    <n v="4.3"/>
    <n v="17"/>
    <n v="35.799999999999997"/>
    <n v="28.1"/>
    <n v="19.100000000000001"/>
    <n v="45.9"/>
    <n v="54.1"/>
    <n v="73.099999999999994"/>
    <n v="24.3"/>
    <n v="30.6"/>
    <n v="4.2"/>
    <n v="0.37"/>
  </r>
  <r>
    <x v="4"/>
    <x v="0"/>
    <s v="Western Europe"/>
    <x v="0"/>
    <x v="9"/>
    <x v="9"/>
    <n v="22464"/>
    <n v="180041"/>
    <n v="18527"/>
    <n v="0.28000000000000003"/>
    <n v="45.1"/>
    <n v="36.9"/>
    <n v="38.200000000000003"/>
    <n v="25.6"/>
    <n v="21.1"/>
    <n v="34.299999999999997"/>
    <n v="31.4"/>
    <n v="19.100000000000001"/>
    <n v="10.199999999999999"/>
    <n v="5"/>
    <n v="14.9"/>
    <n v="32.1"/>
    <n v="28.3"/>
    <n v="24.8"/>
    <n v="44.5"/>
    <n v="55.5"/>
    <n v="73"/>
    <n v="26.9"/>
    <n v="30.1"/>
    <n v="4.4000000000000004"/>
    <n v="0.33"/>
  </r>
  <r>
    <x v="4"/>
    <x v="0"/>
    <s v="Western Europe"/>
    <x v="0"/>
    <x v="10"/>
    <x v="10"/>
    <n v="22462"/>
    <n v="202503"/>
    <n v="18512"/>
    <n v="0.2"/>
    <n v="47.1"/>
    <n v="39.700000000000003"/>
    <n v="37.299999999999997"/>
    <n v="25.7"/>
    <n v="23"/>
    <n v="34.1"/>
    <n v="30.7"/>
    <n v="22"/>
    <n v="10.3"/>
    <n v="2.8"/>
    <n v="19.399999999999999"/>
    <n v="34"/>
    <n v="28.8"/>
    <n v="17.7"/>
    <n v="40.700000000000003"/>
    <n v="59.3"/>
    <n v="71.7"/>
    <n v="34.1"/>
    <n v="26.6"/>
    <n v="3.7"/>
    <n v="0.37"/>
  </r>
  <r>
    <x v="4"/>
    <x v="0"/>
    <s v="Western Europe"/>
    <x v="0"/>
    <x v="11"/>
    <x v="11"/>
    <n v="23983"/>
    <n v="226486"/>
    <n v="20069"/>
    <n v="0.3"/>
    <n v="45.4"/>
    <n v="38.4"/>
    <n v="39.6"/>
    <n v="23.5"/>
    <n v="24.5"/>
    <n v="32.5"/>
    <n v="30.3"/>
    <n v="20.9"/>
    <n v="11.3"/>
    <n v="5"/>
    <n v="15.8"/>
    <n v="33.6"/>
    <n v="27.5"/>
    <n v="23.1"/>
    <n v="41.8"/>
    <n v="58.2"/>
    <n v="68.400000000000006"/>
    <n v="34.6"/>
    <n v="30.2"/>
    <n v="3.7"/>
    <n v="0.32"/>
  </r>
  <r>
    <x v="4"/>
    <x v="0"/>
    <s v="Western Europe"/>
    <x v="1"/>
    <x v="0"/>
    <x v="12"/>
    <n v="24238"/>
    <n v="250724"/>
    <n v="19925"/>
    <n v="0.26"/>
    <n v="47.5"/>
    <n v="38.299999999999997"/>
    <n v="36.799999999999997"/>
    <n v="27"/>
    <n v="23.4"/>
    <n v="32.299999999999997"/>
    <n v="28.6"/>
    <n v="21.3"/>
    <n v="12.9"/>
    <n v="5"/>
    <n v="17.600000000000001"/>
    <n v="35.4"/>
    <n v="28.2"/>
    <n v="18.8"/>
    <n v="43.6"/>
    <n v="56.4"/>
    <n v="72.7"/>
    <n v="31.8"/>
    <n v="22.8"/>
    <n v="4.4000000000000004"/>
    <n v="0.4"/>
  </r>
  <r>
    <x v="5"/>
    <x v="0"/>
    <s v="Northern Europe"/>
    <x v="0"/>
    <x v="0"/>
    <x v="0"/>
    <n v="14627"/>
    <n v="14627"/>
    <n v="12646"/>
    <n v="0.25"/>
    <n v="46.4"/>
    <n v="33.9"/>
    <n v="38.799999999999997"/>
    <n v="27.7"/>
    <n v="20.3"/>
    <n v="33.299999999999997"/>
    <n v="31.9"/>
    <n v="20.8"/>
    <n v="9"/>
    <n v="5"/>
    <n v="15.3"/>
    <n v="30.2"/>
    <n v="26.5"/>
    <n v="27.9"/>
    <n v="42"/>
    <n v="58"/>
    <n v="72.599999999999994"/>
    <n v="29.2"/>
    <n v="23.5"/>
    <n v="3.7"/>
    <n v="0.33"/>
  </r>
  <r>
    <x v="5"/>
    <x v="0"/>
    <s v="Northern Europe"/>
    <x v="0"/>
    <x v="1"/>
    <x v="1"/>
    <n v="15521"/>
    <n v="30148"/>
    <n v="13541"/>
    <n v="0.25"/>
    <n v="46.6"/>
    <n v="36.1"/>
    <n v="38.6"/>
    <n v="27.7"/>
    <n v="22.2"/>
    <n v="31.4"/>
    <n v="32.4"/>
    <n v="20.9"/>
    <n v="10.3"/>
    <n v="5"/>
    <n v="14.4"/>
    <n v="33.6"/>
    <n v="29.4"/>
    <n v="22.6"/>
    <n v="40.700000000000003"/>
    <n v="59.3"/>
    <n v="71.599999999999994"/>
    <n v="27.2"/>
    <n v="21.5"/>
    <n v="4"/>
    <n v="0.39"/>
  </r>
  <r>
    <x v="5"/>
    <x v="0"/>
    <s v="Northern Europe"/>
    <x v="0"/>
    <x v="2"/>
    <x v="2"/>
    <n v="17058"/>
    <n v="47206"/>
    <n v="14682"/>
    <n v="0.23"/>
    <n v="46.3"/>
    <n v="34.5"/>
    <n v="41.4"/>
    <n v="28.9"/>
    <n v="24.4"/>
    <n v="32.4"/>
    <n v="30.4"/>
    <n v="23"/>
    <n v="9.1999999999999993"/>
    <n v="5"/>
    <n v="14.7"/>
    <n v="33.4"/>
    <n v="27.7"/>
    <n v="24.2"/>
    <n v="44.4"/>
    <n v="55.6"/>
    <n v="74.8"/>
    <n v="31.7"/>
    <n v="25.2"/>
    <n v="4.0999999999999996"/>
    <n v="0.38"/>
  </r>
  <r>
    <x v="5"/>
    <x v="0"/>
    <s v="Northern Europe"/>
    <x v="0"/>
    <x v="3"/>
    <x v="3"/>
    <n v="17467"/>
    <n v="64673"/>
    <n v="15221"/>
    <n v="0.31"/>
    <n v="45.8"/>
    <n v="33.4"/>
    <n v="39.299999999999997"/>
    <n v="29.1"/>
    <n v="24.1"/>
    <n v="30"/>
    <n v="31.2"/>
    <n v="23.1"/>
    <n v="10.7"/>
    <n v="5"/>
    <n v="14.4"/>
    <n v="32.5"/>
    <n v="27.6"/>
    <n v="25.6"/>
    <n v="44.1"/>
    <n v="55.9"/>
    <n v="70.900000000000006"/>
    <n v="25.1"/>
    <n v="31.9"/>
    <n v="3.6"/>
    <n v="0.35"/>
  </r>
  <r>
    <x v="5"/>
    <x v="0"/>
    <s v="Northern Europe"/>
    <x v="0"/>
    <x v="4"/>
    <x v="4"/>
    <n v="18795"/>
    <n v="83468"/>
    <n v="15845"/>
    <n v="0.19"/>
    <n v="44.6"/>
    <n v="36.1"/>
    <n v="38.1"/>
    <n v="30"/>
    <n v="23.5"/>
    <n v="35.700000000000003"/>
    <n v="27.6"/>
    <n v="23.7"/>
    <n v="10.9"/>
    <n v="2"/>
    <n v="16.3"/>
    <n v="32"/>
    <n v="28.7"/>
    <n v="22.9"/>
    <n v="40.9"/>
    <n v="59.1"/>
    <n v="72.3"/>
    <n v="32.700000000000003"/>
    <n v="30"/>
    <n v="3.7"/>
    <n v="0.33"/>
  </r>
  <r>
    <x v="5"/>
    <x v="0"/>
    <s v="Northern Europe"/>
    <x v="0"/>
    <x v="5"/>
    <x v="5"/>
    <n v="17706"/>
    <n v="101174"/>
    <n v="15545"/>
    <n v="0.26"/>
    <n v="45.5"/>
    <n v="34.4"/>
    <n v="39.9"/>
    <n v="29.8"/>
    <n v="24.1"/>
    <n v="30.9"/>
    <n v="30.8"/>
    <n v="23.2"/>
    <n v="10.1"/>
    <n v="5"/>
    <n v="19.8"/>
    <n v="35.5"/>
    <n v="29.6"/>
    <n v="15.1"/>
    <n v="43.2"/>
    <n v="56.8"/>
    <n v="69"/>
    <n v="33.1"/>
    <n v="21.5"/>
    <n v="3.8"/>
    <n v="0.35"/>
  </r>
  <r>
    <x v="5"/>
    <x v="0"/>
    <s v="Northern Europe"/>
    <x v="0"/>
    <x v="6"/>
    <x v="6"/>
    <n v="20751"/>
    <n v="121925"/>
    <n v="17617"/>
    <n v="0.3"/>
    <n v="46.3"/>
    <n v="35.9"/>
    <n v="39.1"/>
    <n v="30.6"/>
    <n v="24"/>
    <n v="33.4"/>
    <n v="32.299999999999997"/>
    <n v="19.8"/>
    <n v="9.5"/>
    <n v="5"/>
    <n v="19.100000000000001"/>
    <n v="32.6"/>
    <n v="30.2"/>
    <n v="18"/>
    <n v="45.4"/>
    <n v="54.6"/>
    <n v="75.099999999999994"/>
    <n v="28.3"/>
    <n v="26.1"/>
    <n v="4.4000000000000004"/>
    <n v="0.37"/>
  </r>
  <r>
    <x v="5"/>
    <x v="0"/>
    <s v="Northern Europe"/>
    <x v="0"/>
    <x v="7"/>
    <x v="7"/>
    <n v="20775"/>
    <n v="142700"/>
    <n v="17203"/>
    <n v="0.22"/>
    <n v="45.6"/>
    <n v="35.799999999999997"/>
    <n v="39.299999999999997"/>
    <n v="31.7"/>
    <n v="22.9"/>
    <n v="29.3"/>
    <n v="30.6"/>
    <n v="22.7"/>
    <n v="12.3"/>
    <n v="5"/>
    <n v="18.600000000000001"/>
    <n v="35.1"/>
    <n v="29.1"/>
    <n v="17.3"/>
    <n v="40.5"/>
    <n v="59.5"/>
    <n v="68.599999999999994"/>
    <n v="27.7"/>
    <n v="24.9"/>
    <n v="4.7"/>
    <n v="0.31"/>
  </r>
  <r>
    <x v="5"/>
    <x v="0"/>
    <s v="Northern Europe"/>
    <x v="0"/>
    <x v="8"/>
    <x v="8"/>
    <n v="22572"/>
    <n v="165272"/>
    <n v="19216"/>
    <n v="0.22"/>
    <n v="44.7"/>
    <n v="36.4"/>
    <n v="41.4"/>
    <n v="28.4"/>
    <n v="23.6"/>
    <n v="32.200000000000003"/>
    <n v="30.1"/>
    <n v="20.6"/>
    <n v="12.2"/>
    <n v="5"/>
    <n v="19.899999999999999"/>
    <n v="33.6"/>
    <n v="27.8"/>
    <n v="18.7"/>
    <n v="43.9"/>
    <n v="56.1"/>
    <n v="75.099999999999994"/>
    <n v="29"/>
    <n v="25.4"/>
    <n v="3.9"/>
    <n v="0.37"/>
  </r>
  <r>
    <x v="5"/>
    <x v="0"/>
    <s v="Northern Europe"/>
    <x v="0"/>
    <x v="9"/>
    <x v="9"/>
    <n v="22126"/>
    <n v="187398"/>
    <n v="19210"/>
    <n v="0.26"/>
    <n v="46.1"/>
    <n v="33"/>
    <n v="39.799999999999997"/>
    <n v="30.5"/>
    <n v="24.8"/>
    <n v="31.4"/>
    <n v="31.1"/>
    <n v="19.3"/>
    <n v="13.2"/>
    <n v="5"/>
    <n v="14"/>
    <n v="31.5"/>
    <n v="29.7"/>
    <n v="24.8"/>
    <n v="41.9"/>
    <n v="58.1"/>
    <n v="70.900000000000006"/>
    <n v="25.8"/>
    <n v="30.1"/>
    <n v="4.7"/>
    <n v="0.34"/>
  </r>
  <r>
    <x v="5"/>
    <x v="0"/>
    <s v="Northern Europe"/>
    <x v="0"/>
    <x v="10"/>
    <x v="10"/>
    <n v="23316"/>
    <n v="210714"/>
    <n v="19244"/>
    <n v="0.28000000000000003"/>
    <n v="46"/>
    <n v="33.200000000000003"/>
    <n v="41.7"/>
    <n v="28.8"/>
    <n v="24.8"/>
    <n v="35"/>
    <n v="30.4"/>
    <n v="18.8"/>
    <n v="10.8"/>
    <n v="5"/>
    <n v="19.7"/>
    <n v="33"/>
    <n v="28.2"/>
    <n v="19.100000000000001"/>
    <n v="42.7"/>
    <n v="57.3"/>
    <n v="70.900000000000006"/>
    <n v="27.2"/>
    <n v="20.6"/>
    <n v="3.9"/>
    <n v="0.37"/>
  </r>
  <r>
    <x v="5"/>
    <x v="0"/>
    <s v="Northern Europe"/>
    <x v="0"/>
    <x v="11"/>
    <x v="11"/>
    <n v="22269"/>
    <n v="232983"/>
    <n v="19436"/>
    <n v="0.21"/>
    <n v="46.5"/>
    <n v="34.299999999999997"/>
    <n v="39.6"/>
    <n v="31.7"/>
    <n v="27.5"/>
    <n v="31.8"/>
    <n v="29.2"/>
    <n v="23.6"/>
    <n v="10.3"/>
    <n v="5"/>
    <n v="19"/>
    <n v="30.1"/>
    <n v="27.9"/>
    <n v="23"/>
    <n v="42"/>
    <n v="58"/>
    <n v="69"/>
    <n v="27.8"/>
    <n v="25.9"/>
    <n v="4.2"/>
    <n v="0.4"/>
  </r>
  <r>
    <x v="5"/>
    <x v="0"/>
    <s v="Northern Europe"/>
    <x v="1"/>
    <x v="0"/>
    <x v="12"/>
    <n v="23103"/>
    <n v="256086"/>
    <n v="19883"/>
    <n v="0.22"/>
    <n v="46.8"/>
    <n v="34.9"/>
    <n v="43.1"/>
    <n v="29.9"/>
    <n v="25"/>
    <n v="33.799999999999997"/>
    <n v="30.5"/>
    <n v="20.3"/>
    <n v="10.5"/>
    <n v="5"/>
    <n v="17.899999999999999"/>
    <n v="35.799999999999997"/>
    <n v="30.2"/>
    <n v="16"/>
    <n v="40.1"/>
    <n v="59.9"/>
    <n v="74.3"/>
    <n v="32.9"/>
    <n v="25.5"/>
    <n v="3.9"/>
    <n v="0.35"/>
  </r>
  <r>
    <x v="6"/>
    <x v="0"/>
    <s v="Southern Europe"/>
    <x v="0"/>
    <x v="0"/>
    <x v="0"/>
    <n v="13353"/>
    <n v="13353"/>
    <n v="11329"/>
    <n v="0.19"/>
    <n v="47.4"/>
    <n v="39.799999999999997"/>
    <n v="37.200000000000003"/>
    <n v="26"/>
    <n v="21.3"/>
    <n v="30.1"/>
    <n v="31.5"/>
    <n v="22.5"/>
    <n v="10.9"/>
    <n v="5"/>
    <n v="18"/>
    <n v="31.6"/>
    <n v="27.7"/>
    <n v="22.7"/>
    <n v="45.5"/>
    <n v="54.5"/>
    <n v="71.8"/>
    <n v="34.5"/>
    <n v="28.5"/>
    <n v="4.0999999999999996"/>
    <n v="0.31"/>
  </r>
  <r>
    <x v="6"/>
    <x v="0"/>
    <s v="Southern Europe"/>
    <x v="0"/>
    <x v="1"/>
    <x v="1"/>
    <n v="14846"/>
    <n v="28199"/>
    <n v="12645"/>
    <n v="0.21"/>
    <n v="46"/>
    <n v="40.9"/>
    <n v="34.4"/>
    <n v="27.3"/>
    <n v="19.600000000000001"/>
    <n v="35.1"/>
    <n v="30.2"/>
    <n v="22.5"/>
    <n v="10.199999999999999"/>
    <n v="2"/>
    <n v="19.8"/>
    <n v="31.2"/>
    <n v="30.8"/>
    <n v="18.3"/>
    <n v="46"/>
    <n v="54"/>
    <n v="75.8"/>
    <n v="30"/>
    <n v="23.1"/>
    <n v="4.8"/>
    <n v="0.32"/>
  </r>
  <r>
    <x v="6"/>
    <x v="0"/>
    <s v="Southern Europe"/>
    <x v="0"/>
    <x v="2"/>
    <x v="2"/>
    <n v="15514"/>
    <n v="43713"/>
    <n v="13566"/>
    <n v="0.31"/>
    <n v="47.4"/>
    <n v="39.5"/>
    <n v="36.5"/>
    <n v="25"/>
    <n v="20.100000000000001"/>
    <n v="30.9"/>
    <n v="28.2"/>
    <n v="22.3"/>
    <n v="13.6"/>
    <n v="5"/>
    <n v="15.4"/>
    <n v="33.799999999999997"/>
    <n v="27.1"/>
    <n v="23.7"/>
    <n v="41.9"/>
    <n v="58.1"/>
    <n v="73.8"/>
    <n v="23.3"/>
    <n v="25.1"/>
    <n v="3.9"/>
    <n v="0.34"/>
  </r>
  <r>
    <x v="6"/>
    <x v="0"/>
    <s v="Southern Europe"/>
    <x v="0"/>
    <x v="3"/>
    <x v="3"/>
    <n v="15815"/>
    <n v="59528"/>
    <n v="13910"/>
    <n v="0.19"/>
    <n v="46.8"/>
    <n v="38.5"/>
    <n v="36.700000000000003"/>
    <n v="28.4"/>
    <n v="22.4"/>
    <n v="31.1"/>
    <n v="32.700000000000003"/>
    <n v="19.8"/>
    <n v="11.5"/>
    <n v="5"/>
    <n v="15.3"/>
    <n v="30.2"/>
    <n v="26.2"/>
    <n v="28.3"/>
    <n v="41.1"/>
    <n v="58.9"/>
    <n v="70.3"/>
    <n v="35.299999999999997"/>
    <n v="27"/>
    <n v="3.9"/>
    <n v="0.34"/>
  </r>
  <r>
    <x v="6"/>
    <x v="0"/>
    <s v="Southern Europe"/>
    <x v="0"/>
    <x v="4"/>
    <x v="4"/>
    <n v="16595"/>
    <n v="76123"/>
    <n v="14550"/>
    <n v="0.3"/>
    <n v="45.8"/>
    <n v="39.5"/>
    <n v="35.799999999999997"/>
    <n v="25.8"/>
    <n v="21.4"/>
    <n v="31.3"/>
    <n v="30.9"/>
    <n v="23"/>
    <n v="10.7"/>
    <n v="4.2"/>
    <n v="18.2"/>
    <n v="34.6"/>
    <n v="29.3"/>
    <n v="17.899999999999999"/>
    <n v="40.9"/>
    <n v="59.1"/>
    <n v="72.3"/>
    <n v="26"/>
    <n v="25.1"/>
    <n v="4.0999999999999996"/>
    <n v="0.35"/>
  </r>
  <r>
    <x v="6"/>
    <x v="0"/>
    <s v="Southern Europe"/>
    <x v="0"/>
    <x v="5"/>
    <x v="5"/>
    <n v="15232"/>
    <n v="91355"/>
    <n v="13379"/>
    <n v="0.21"/>
    <n v="45.4"/>
    <n v="40.4"/>
    <n v="34"/>
    <n v="28.2"/>
    <n v="23.3"/>
    <n v="34.5"/>
    <n v="27.1"/>
    <n v="20.2"/>
    <n v="13.5"/>
    <n v="4.5999999999999996"/>
    <n v="18.8"/>
    <n v="35.9"/>
    <n v="29.8"/>
    <n v="15.5"/>
    <n v="42.4"/>
    <n v="57.6"/>
    <n v="73.3"/>
    <n v="23.1"/>
    <n v="26.5"/>
    <n v="4.7"/>
    <n v="0.3"/>
  </r>
  <r>
    <x v="6"/>
    <x v="0"/>
    <s v="Southern Europe"/>
    <x v="0"/>
    <x v="6"/>
    <x v="6"/>
    <n v="16546"/>
    <n v="107901"/>
    <n v="14164"/>
    <n v="0.22"/>
    <n v="46.6"/>
    <n v="40.4"/>
    <n v="36.200000000000003"/>
    <n v="27.6"/>
    <n v="21.3"/>
    <n v="34.9"/>
    <n v="27.6"/>
    <n v="22.8"/>
    <n v="10"/>
    <n v="4.5999999999999996"/>
    <n v="16.100000000000001"/>
    <n v="32"/>
    <n v="30.9"/>
    <n v="21"/>
    <n v="45.1"/>
    <n v="54.9"/>
    <n v="73.8"/>
    <n v="29.9"/>
    <n v="31.4"/>
    <n v="4.5"/>
    <n v="0.34"/>
  </r>
  <r>
    <x v="6"/>
    <x v="0"/>
    <s v="Southern Europe"/>
    <x v="0"/>
    <x v="7"/>
    <x v="7"/>
    <n v="16616"/>
    <n v="124517"/>
    <n v="14461"/>
    <n v="0.18"/>
    <n v="46.6"/>
    <n v="40.700000000000003"/>
    <n v="35.200000000000003"/>
    <n v="28.7"/>
    <n v="23.5"/>
    <n v="33.299999999999997"/>
    <n v="29"/>
    <n v="19.399999999999999"/>
    <n v="13.3"/>
    <n v="5"/>
    <n v="14.9"/>
    <n v="31.9"/>
    <n v="27.5"/>
    <n v="25.7"/>
    <n v="45.2"/>
    <n v="54.8"/>
    <n v="74.400000000000006"/>
    <n v="25.5"/>
    <n v="27.5"/>
    <n v="4.4000000000000004"/>
    <n v="0.31"/>
  </r>
  <r>
    <x v="6"/>
    <x v="0"/>
    <s v="Southern Europe"/>
    <x v="0"/>
    <x v="8"/>
    <x v="8"/>
    <n v="18919"/>
    <n v="143436"/>
    <n v="15840"/>
    <n v="0.22"/>
    <n v="45.6"/>
    <n v="41.3"/>
    <n v="37.299999999999997"/>
    <n v="27.8"/>
    <n v="20.9"/>
    <n v="33.200000000000003"/>
    <n v="30"/>
    <n v="21.8"/>
    <n v="10"/>
    <n v="5"/>
    <n v="16.5"/>
    <n v="34.5"/>
    <n v="26.5"/>
    <n v="22.5"/>
    <n v="41.7"/>
    <n v="58.3"/>
    <n v="71.5"/>
    <n v="35.700000000000003"/>
    <n v="20.8"/>
    <n v="4.0999999999999996"/>
    <n v="0.37"/>
  </r>
  <r>
    <x v="6"/>
    <x v="0"/>
    <s v="Southern Europe"/>
    <x v="0"/>
    <x v="9"/>
    <x v="9"/>
    <n v="19387"/>
    <n v="162823"/>
    <n v="16389"/>
    <n v="0.23"/>
    <n v="45.7"/>
    <n v="37.9"/>
    <n v="36.5"/>
    <n v="27.6"/>
    <n v="22.1"/>
    <n v="32.9"/>
    <n v="29.8"/>
    <n v="22"/>
    <n v="10.3"/>
    <n v="5"/>
    <n v="14.1"/>
    <n v="35.799999999999997"/>
    <n v="27.3"/>
    <n v="22.9"/>
    <n v="44.1"/>
    <n v="55.9"/>
    <n v="72.900000000000006"/>
    <n v="26.4"/>
    <n v="23.3"/>
    <n v="3.8"/>
    <n v="0.39"/>
  </r>
  <r>
    <x v="6"/>
    <x v="0"/>
    <s v="Southern Europe"/>
    <x v="0"/>
    <x v="10"/>
    <x v="10"/>
    <n v="20098"/>
    <n v="182921"/>
    <n v="17545"/>
    <n v="0.21"/>
    <n v="46.3"/>
    <n v="41.4"/>
    <n v="36.299999999999997"/>
    <n v="26.9"/>
    <n v="23.7"/>
    <n v="32.799999999999997"/>
    <n v="29.1"/>
    <n v="23.6"/>
    <n v="9.5"/>
    <n v="5"/>
    <n v="18.5"/>
    <n v="35.5"/>
    <n v="28.2"/>
    <n v="17.899999999999999"/>
    <n v="41.6"/>
    <n v="58.4"/>
    <n v="73.8"/>
    <n v="22.1"/>
    <n v="27.1"/>
    <n v="3.7"/>
    <n v="0.32"/>
  </r>
  <r>
    <x v="6"/>
    <x v="0"/>
    <s v="Southern Europe"/>
    <x v="0"/>
    <x v="11"/>
    <x v="11"/>
    <n v="21163"/>
    <n v="204084"/>
    <n v="18291"/>
    <n v="0.18"/>
    <n v="45.2"/>
    <n v="40.799999999999997"/>
    <n v="35.799999999999997"/>
    <n v="27.4"/>
    <n v="23.6"/>
    <n v="35.5"/>
    <n v="29.3"/>
    <n v="19.2"/>
    <n v="12.1"/>
    <n v="4"/>
    <n v="18.5"/>
    <n v="34.4"/>
    <n v="28.6"/>
    <n v="18.5"/>
    <n v="40.4"/>
    <n v="59.6"/>
    <n v="75.400000000000006"/>
    <n v="30.2"/>
    <n v="26.5"/>
    <n v="4.5"/>
    <n v="0.35"/>
  </r>
  <r>
    <x v="6"/>
    <x v="0"/>
    <s v="Southern Europe"/>
    <x v="1"/>
    <x v="0"/>
    <x v="12"/>
    <n v="20979"/>
    <n v="225063"/>
    <n v="17515"/>
    <n v="0.28000000000000003"/>
    <n v="45.8"/>
    <n v="41.2"/>
    <n v="38.700000000000003"/>
    <n v="27.7"/>
    <n v="25.5"/>
    <n v="30"/>
    <n v="31.4"/>
    <n v="21.3"/>
    <n v="12.3"/>
    <n v="5"/>
    <n v="15.6"/>
    <n v="31"/>
    <n v="26.8"/>
    <n v="26.7"/>
    <n v="40.4"/>
    <n v="59.6"/>
    <n v="73.3"/>
    <n v="34.299999999999997"/>
    <n v="29.8"/>
    <n v="3.9"/>
    <n v="0.35"/>
  </r>
  <r>
    <x v="7"/>
    <x v="0"/>
    <s v="Western Europe"/>
    <x v="0"/>
    <x v="0"/>
    <x v="0"/>
    <n v="9990"/>
    <n v="9990"/>
    <n v="8405"/>
    <n v="0.23"/>
    <n v="47"/>
    <n v="37.4"/>
    <n v="41.5"/>
    <n v="23.2"/>
    <n v="18.5"/>
    <n v="29.6"/>
    <n v="31.2"/>
    <n v="22.1"/>
    <n v="13.2"/>
    <n v="4"/>
    <n v="19.2"/>
    <n v="34.5"/>
    <n v="28.2"/>
    <n v="18.2"/>
    <n v="43.7"/>
    <n v="56.3"/>
    <n v="73.400000000000006"/>
    <n v="24.5"/>
    <n v="28.3"/>
    <n v="4.5"/>
    <n v="0.37"/>
  </r>
  <r>
    <x v="7"/>
    <x v="0"/>
    <s v="Western Europe"/>
    <x v="0"/>
    <x v="1"/>
    <x v="1"/>
    <n v="10723"/>
    <n v="20713"/>
    <n v="8896"/>
    <n v="0.19"/>
    <n v="44.6"/>
    <n v="36.299999999999997"/>
    <n v="38.9"/>
    <n v="21.1"/>
    <n v="18"/>
    <n v="35.700000000000003"/>
    <n v="29.7"/>
    <n v="21.3"/>
    <n v="11.1"/>
    <n v="2.2000000000000002"/>
    <n v="16.600000000000001"/>
    <n v="33.200000000000003"/>
    <n v="29.5"/>
    <n v="20.7"/>
    <n v="44.2"/>
    <n v="55.8"/>
    <n v="72"/>
    <n v="27.8"/>
    <n v="30.4"/>
    <n v="3.7"/>
    <n v="0.33"/>
  </r>
  <r>
    <x v="7"/>
    <x v="0"/>
    <s v="Western Europe"/>
    <x v="0"/>
    <x v="2"/>
    <x v="2"/>
    <n v="10806"/>
    <n v="31519"/>
    <n v="9309"/>
    <n v="0.21"/>
    <n v="45.7"/>
    <n v="35.4"/>
    <n v="40.1"/>
    <n v="21.7"/>
    <n v="18.100000000000001"/>
    <n v="33.299999999999997"/>
    <n v="28.9"/>
    <n v="22.7"/>
    <n v="13.1"/>
    <n v="2"/>
    <n v="19.100000000000001"/>
    <n v="32.9"/>
    <n v="27.7"/>
    <n v="20.399999999999999"/>
    <n v="44.7"/>
    <n v="55.3"/>
    <n v="69.5"/>
    <n v="34"/>
    <n v="30.6"/>
    <n v="4.7"/>
    <n v="0.32"/>
  </r>
  <r>
    <x v="7"/>
    <x v="0"/>
    <s v="Western Europe"/>
    <x v="0"/>
    <x v="3"/>
    <x v="3"/>
    <n v="10667"/>
    <n v="42186"/>
    <n v="9308"/>
    <n v="0.23"/>
    <n v="46.1"/>
    <n v="36.9"/>
    <n v="40.799999999999997"/>
    <n v="20.6"/>
    <n v="19.899999999999999"/>
    <n v="30.5"/>
    <n v="29.7"/>
    <n v="22.2"/>
    <n v="12.6"/>
    <n v="5"/>
    <n v="17.899999999999999"/>
    <n v="34.299999999999997"/>
    <n v="26"/>
    <n v="21.8"/>
    <n v="41.3"/>
    <n v="58.7"/>
    <n v="71.900000000000006"/>
    <n v="22.1"/>
    <n v="29.7"/>
    <n v="4.3"/>
    <n v="0.38"/>
  </r>
  <r>
    <x v="7"/>
    <x v="0"/>
    <s v="Western Europe"/>
    <x v="0"/>
    <x v="4"/>
    <x v="4"/>
    <n v="12559"/>
    <n v="54745"/>
    <n v="10903"/>
    <n v="0.25"/>
    <n v="44.9"/>
    <n v="37.700000000000003"/>
    <n v="41.4"/>
    <n v="21.3"/>
    <n v="19.600000000000001"/>
    <n v="33.700000000000003"/>
    <n v="27.4"/>
    <n v="21.3"/>
    <n v="12.6"/>
    <n v="5"/>
    <n v="15.6"/>
    <n v="31.2"/>
    <n v="27.6"/>
    <n v="25.6"/>
    <n v="41.4"/>
    <n v="58.6"/>
    <n v="71.400000000000006"/>
    <n v="34.700000000000003"/>
    <n v="26.1"/>
    <n v="4.5999999999999996"/>
    <n v="0.37"/>
  </r>
  <r>
    <x v="7"/>
    <x v="0"/>
    <s v="Western Europe"/>
    <x v="0"/>
    <x v="5"/>
    <x v="5"/>
    <n v="13285"/>
    <n v="68030"/>
    <n v="11110"/>
    <n v="0.28000000000000003"/>
    <n v="45.3"/>
    <n v="38.4"/>
    <n v="39.799999999999997"/>
    <n v="22"/>
    <n v="20"/>
    <n v="31.9"/>
    <n v="28.3"/>
    <n v="24"/>
    <n v="10.8"/>
    <n v="5"/>
    <n v="16.600000000000001"/>
    <n v="30.2"/>
    <n v="27.3"/>
    <n v="25.9"/>
    <n v="40.200000000000003"/>
    <n v="59.8"/>
    <n v="69.900000000000006"/>
    <n v="29.8"/>
    <n v="20.5"/>
    <n v="4"/>
    <n v="0.39"/>
  </r>
  <r>
    <x v="7"/>
    <x v="0"/>
    <s v="Western Europe"/>
    <x v="0"/>
    <x v="6"/>
    <x v="6"/>
    <n v="14351"/>
    <n v="82381"/>
    <n v="12478"/>
    <n v="0.3"/>
    <n v="45.2"/>
    <n v="35.9"/>
    <n v="39.1"/>
    <n v="25.2"/>
    <n v="20.9"/>
    <n v="29.8"/>
    <n v="29.4"/>
    <n v="23.9"/>
    <n v="11.8"/>
    <n v="5"/>
    <n v="15.9"/>
    <n v="33.9"/>
    <n v="27.2"/>
    <n v="23"/>
    <n v="40.1"/>
    <n v="59.9"/>
    <n v="73"/>
    <n v="32.700000000000003"/>
    <n v="20.5"/>
    <n v="4.5999999999999996"/>
    <n v="0.36"/>
  </r>
  <r>
    <x v="7"/>
    <x v="0"/>
    <s v="Western Europe"/>
    <x v="0"/>
    <x v="7"/>
    <x v="7"/>
    <n v="14087"/>
    <n v="96468"/>
    <n v="12388"/>
    <n v="0.28999999999999998"/>
    <n v="45.8"/>
    <n v="38.6"/>
    <n v="39.799999999999997"/>
    <n v="23.9"/>
    <n v="23.7"/>
    <n v="34.6"/>
    <n v="30.2"/>
    <n v="19"/>
    <n v="11.3"/>
    <n v="5"/>
    <n v="18"/>
    <n v="34.1"/>
    <n v="27.9"/>
    <n v="20"/>
    <n v="45.7"/>
    <n v="54.3"/>
    <n v="72"/>
    <n v="31.7"/>
    <n v="28.4"/>
    <n v="4.3"/>
    <n v="0.32"/>
  </r>
  <r>
    <x v="7"/>
    <x v="0"/>
    <s v="Western Europe"/>
    <x v="0"/>
    <x v="8"/>
    <x v="8"/>
    <n v="14994"/>
    <n v="111462"/>
    <n v="12704"/>
    <n v="0.27"/>
    <n v="47"/>
    <n v="37.700000000000003"/>
    <n v="42.1"/>
    <n v="24.2"/>
    <n v="23.2"/>
    <n v="30.2"/>
    <n v="31.5"/>
    <n v="21.5"/>
    <n v="12"/>
    <n v="4.8"/>
    <n v="16.100000000000001"/>
    <n v="30.3"/>
    <n v="26.2"/>
    <n v="27.4"/>
    <n v="42.5"/>
    <n v="57.5"/>
    <n v="72.900000000000006"/>
    <n v="34.299999999999997"/>
    <n v="30.6"/>
    <n v="3.8"/>
    <n v="0.37"/>
  </r>
  <r>
    <x v="7"/>
    <x v="0"/>
    <s v="Western Europe"/>
    <x v="0"/>
    <x v="9"/>
    <x v="9"/>
    <n v="14022"/>
    <n v="125484"/>
    <n v="12173"/>
    <n v="0.32"/>
    <n v="44.6"/>
    <n v="35.700000000000003"/>
    <n v="43"/>
    <n v="24"/>
    <n v="24.2"/>
    <n v="34.299999999999997"/>
    <n v="28.8"/>
    <n v="21.7"/>
    <n v="10.1"/>
    <n v="5"/>
    <n v="16.8"/>
    <n v="31.6"/>
    <n v="26.5"/>
    <n v="25.1"/>
    <n v="41"/>
    <n v="59"/>
    <n v="75.8"/>
    <n v="32.6"/>
    <n v="31.6"/>
    <n v="4"/>
    <n v="0.32"/>
  </r>
  <r>
    <x v="7"/>
    <x v="0"/>
    <s v="Western Europe"/>
    <x v="0"/>
    <x v="10"/>
    <x v="10"/>
    <n v="14089"/>
    <n v="139573"/>
    <n v="11769"/>
    <n v="0.23"/>
    <n v="46.5"/>
    <n v="35.9"/>
    <n v="42.5"/>
    <n v="23"/>
    <n v="22.6"/>
    <n v="33.6"/>
    <n v="29.7"/>
    <n v="19.600000000000001"/>
    <n v="12.1"/>
    <n v="5"/>
    <n v="15.6"/>
    <n v="32.9"/>
    <n v="26.4"/>
    <n v="25"/>
    <n v="42.8"/>
    <n v="57.2"/>
    <n v="74.599999999999994"/>
    <n v="22.8"/>
    <n v="25"/>
    <n v="4.5"/>
    <n v="0.39"/>
  </r>
  <r>
    <x v="7"/>
    <x v="0"/>
    <s v="Western Europe"/>
    <x v="0"/>
    <x v="11"/>
    <x v="11"/>
    <n v="14975"/>
    <n v="154548"/>
    <n v="12762"/>
    <n v="0.3"/>
    <n v="47.5"/>
    <n v="37.200000000000003"/>
    <n v="40.200000000000003"/>
    <n v="24.7"/>
    <n v="24.6"/>
    <n v="34.6"/>
    <n v="27.1"/>
    <n v="19.5"/>
    <n v="13.8"/>
    <n v="5"/>
    <n v="15.1"/>
    <n v="33.4"/>
    <n v="28.9"/>
    <n v="22.6"/>
    <n v="42.9"/>
    <n v="57.1"/>
    <n v="69.8"/>
    <n v="29.7"/>
    <n v="24.5"/>
    <n v="3.9"/>
    <n v="0.32"/>
  </r>
  <r>
    <x v="7"/>
    <x v="0"/>
    <s v="Western Europe"/>
    <x v="1"/>
    <x v="0"/>
    <x v="12"/>
    <n v="15087"/>
    <n v="169635"/>
    <n v="13118"/>
    <n v="0.22"/>
    <n v="47.3"/>
    <n v="36.299999999999997"/>
    <n v="40.200000000000003"/>
    <n v="24.5"/>
    <n v="25.2"/>
    <n v="31.4"/>
    <n v="32.5"/>
    <n v="20.8"/>
    <n v="10.3"/>
    <n v="5"/>
    <n v="14"/>
    <n v="35.200000000000003"/>
    <n v="30"/>
    <n v="20.8"/>
    <n v="43.8"/>
    <n v="56.2"/>
    <n v="69.2"/>
    <n v="28.4"/>
    <n v="24.2"/>
    <n v="3.9"/>
    <n v="0.32"/>
  </r>
  <r>
    <x v="8"/>
    <x v="0"/>
    <s v="Southern Europe"/>
    <x v="0"/>
    <x v="0"/>
    <x v="0"/>
    <n v="8538"/>
    <n v="8538"/>
    <n v="7466"/>
    <n v="0.25"/>
    <n v="45.9"/>
    <n v="34.5"/>
    <n v="38.299999999999997"/>
    <n v="28.6"/>
    <n v="21.7"/>
    <n v="32.1"/>
    <n v="29.7"/>
    <n v="23.5"/>
    <n v="11.5"/>
    <n v="3.2"/>
    <n v="17"/>
    <n v="30.3"/>
    <n v="26.2"/>
    <n v="26.5"/>
    <n v="43.3"/>
    <n v="56.7"/>
    <n v="74.7"/>
    <n v="24.2"/>
    <n v="20.3"/>
    <n v="3.7"/>
    <n v="0.36"/>
  </r>
  <r>
    <x v="8"/>
    <x v="0"/>
    <s v="Southern Europe"/>
    <x v="0"/>
    <x v="1"/>
    <x v="1"/>
    <n v="9260"/>
    <n v="17798"/>
    <n v="7689"/>
    <n v="0.23"/>
    <n v="46.9"/>
    <n v="35.200000000000003"/>
    <n v="37.1"/>
    <n v="30.3"/>
    <n v="20.6"/>
    <n v="35.9"/>
    <n v="28.7"/>
    <n v="21.3"/>
    <n v="9.1999999999999993"/>
    <n v="5"/>
    <n v="19.8"/>
    <n v="34"/>
    <n v="30.7"/>
    <n v="15.6"/>
    <n v="41.6"/>
    <n v="58.4"/>
    <n v="73.400000000000006"/>
    <n v="26.4"/>
    <n v="30.2"/>
    <n v="3.9"/>
    <n v="0.4"/>
  </r>
  <r>
    <x v="8"/>
    <x v="0"/>
    <s v="Southern Europe"/>
    <x v="0"/>
    <x v="2"/>
    <x v="2"/>
    <n v="9476"/>
    <n v="27274"/>
    <n v="8177"/>
    <n v="0.28000000000000003"/>
    <n v="46.4"/>
    <n v="33.299999999999997"/>
    <n v="38.1"/>
    <n v="27.8"/>
    <n v="21.9"/>
    <n v="31.9"/>
    <n v="29.4"/>
    <n v="24"/>
    <n v="9.8000000000000007"/>
    <n v="5"/>
    <n v="19.8"/>
    <n v="32.700000000000003"/>
    <n v="28.5"/>
    <n v="19"/>
    <n v="41.5"/>
    <n v="58.5"/>
    <n v="73.3"/>
    <n v="32.5"/>
    <n v="29"/>
    <n v="3.7"/>
    <n v="0.3"/>
  </r>
  <r>
    <x v="8"/>
    <x v="0"/>
    <s v="Southern Europe"/>
    <x v="0"/>
    <x v="3"/>
    <x v="3"/>
    <n v="9809"/>
    <n v="37083"/>
    <n v="8433"/>
    <n v="0.24"/>
    <n v="45.7"/>
    <n v="36"/>
    <n v="40.5"/>
    <n v="29.1"/>
    <n v="23.3"/>
    <n v="33.700000000000003"/>
    <n v="28.8"/>
    <n v="22"/>
    <n v="10.5"/>
    <n v="5"/>
    <n v="17.600000000000001"/>
    <n v="32.6"/>
    <n v="26.8"/>
    <n v="23"/>
    <n v="40.700000000000003"/>
    <n v="59.3"/>
    <n v="75.2"/>
    <n v="26.8"/>
    <n v="28.8"/>
    <n v="4.4000000000000004"/>
    <n v="0.39"/>
  </r>
  <r>
    <x v="8"/>
    <x v="0"/>
    <s v="Southern Europe"/>
    <x v="0"/>
    <x v="4"/>
    <x v="4"/>
    <n v="10656"/>
    <n v="47739"/>
    <n v="8946"/>
    <n v="0.18"/>
    <n v="47"/>
    <n v="35.200000000000003"/>
    <n v="39.299999999999997"/>
    <n v="30"/>
    <n v="21.4"/>
    <n v="31.7"/>
    <n v="29.2"/>
    <n v="23.6"/>
    <n v="10.5"/>
    <n v="5"/>
    <n v="19.600000000000001"/>
    <n v="34.9"/>
    <n v="30.9"/>
    <n v="14.5"/>
    <n v="41.6"/>
    <n v="58.4"/>
    <n v="71.400000000000006"/>
    <n v="26.9"/>
    <n v="20.6"/>
    <n v="4.3"/>
    <n v="0.33"/>
  </r>
  <r>
    <x v="8"/>
    <x v="0"/>
    <s v="Southern Europe"/>
    <x v="0"/>
    <x v="5"/>
    <x v="5"/>
    <n v="11520"/>
    <n v="59259"/>
    <n v="9694"/>
    <n v="0.3"/>
    <n v="47"/>
    <n v="36.299999999999997"/>
    <n v="38.6"/>
    <n v="31.6"/>
    <n v="22.6"/>
    <n v="34.9"/>
    <n v="28.6"/>
    <n v="21"/>
    <n v="10.5"/>
    <n v="5"/>
    <n v="19.600000000000001"/>
    <n v="30.7"/>
    <n v="30.7"/>
    <n v="19"/>
    <n v="44.1"/>
    <n v="55.9"/>
    <n v="68.3"/>
    <n v="28.7"/>
    <n v="24.9"/>
    <n v="4.5"/>
    <n v="0.31"/>
  </r>
  <r>
    <x v="8"/>
    <x v="0"/>
    <s v="Southern Europe"/>
    <x v="0"/>
    <x v="6"/>
    <x v="6"/>
    <n v="11770"/>
    <n v="71029"/>
    <n v="9733"/>
    <n v="0.27"/>
    <n v="47.3"/>
    <n v="34.799999999999997"/>
    <n v="38.700000000000003"/>
    <n v="30.9"/>
    <n v="23.3"/>
    <n v="34.299999999999997"/>
    <n v="30.6"/>
    <n v="19.100000000000001"/>
    <n v="11"/>
    <n v="5"/>
    <n v="15.1"/>
    <n v="30.9"/>
    <n v="30.1"/>
    <n v="23.8"/>
    <n v="40.299999999999997"/>
    <n v="59.7"/>
    <n v="69.3"/>
    <n v="34.299999999999997"/>
    <n v="26.7"/>
    <n v="3.9"/>
    <n v="0.39"/>
  </r>
  <r>
    <x v="8"/>
    <x v="0"/>
    <s v="Southern Europe"/>
    <x v="0"/>
    <x v="7"/>
    <x v="7"/>
    <n v="13343"/>
    <n v="84372"/>
    <n v="11674"/>
    <n v="0.27"/>
    <n v="46.4"/>
    <n v="34.6"/>
    <n v="39.6"/>
    <n v="31.7"/>
    <n v="23.8"/>
    <n v="35.299999999999997"/>
    <n v="27.5"/>
    <n v="23.1"/>
    <n v="11.4"/>
    <n v="2.7"/>
    <n v="17.100000000000001"/>
    <n v="31.9"/>
    <n v="28.9"/>
    <n v="22.2"/>
    <n v="42"/>
    <n v="58"/>
    <n v="70.2"/>
    <n v="22.1"/>
    <n v="31.7"/>
    <n v="4.4000000000000004"/>
    <n v="0.38"/>
  </r>
  <r>
    <x v="8"/>
    <x v="0"/>
    <s v="Southern Europe"/>
    <x v="0"/>
    <x v="8"/>
    <x v="8"/>
    <n v="13955"/>
    <n v="98327"/>
    <n v="11778"/>
    <n v="0.28999999999999998"/>
    <n v="45.3"/>
    <n v="34.799999999999997"/>
    <n v="40"/>
    <n v="31.9"/>
    <n v="25.3"/>
    <n v="31.4"/>
    <n v="28.6"/>
    <n v="22.1"/>
    <n v="12.8"/>
    <n v="5"/>
    <n v="19.399999999999999"/>
    <n v="30.5"/>
    <n v="28"/>
    <n v="22.1"/>
    <n v="40.6"/>
    <n v="59.4"/>
    <n v="73.3"/>
    <n v="30.4"/>
    <n v="22"/>
    <n v="3.8"/>
    <n v="0.32"/>
  </r>
  <r>
    <x v="8"/>
    <x v="0"/>
    <s v="Southern Europe"/>
    <x v="0"/>
    <x v="9"/>
    <x v="9"/>
    <n v="13792"/>
    <n v="112119"/>
    <n v="12076"/>
    <n v="0.24"/>
    <n v="44.7"/>
    <n v="35.299999999999997"/>
    <n v="39.299999999999997"/>
    <n v="29.7"/>
    <n v="25.2"/>
    <n v="30.8"/>
    <n v="30.7"/>
    <n v="20"/>
    <n v="13.5"/>
    <n v="5"/>
    <n v="16.2"/>
    <n v="33.299999999999997"/>
    <n v="26.3"/>
    <n v="24.2"/>
    <n v="42.6"/>
    <n v="57.4"/>
    <n v="74.400000000000006"/>
    <n v="25.1"/>
    <n v="22.7"/>
    <n v="4"/>
    <n v="0.39"/>
  </r>
  <r>
    <x v="8"/>
    <x v="0"/>
    <s v="Southern Europe"/>
    <x v="0"/>
    <x v="10"/>
    <x v="10"/>
    <n v="12540"/>
    <n v="124659"/>
    <n v="10441"/>
    <n v="0.28999999999999998"/>
    <n v="44.7"/>
    <n v="34.5"/>
    <n v="39.200000000000003"/>
    <n v="31.5"/>
    <n v="25.4"/>
    <n v="33.700000000000003"/>
    <n v="31.9"/>
    <n v="20.2"/>
    <n v="9.1999999999999993"/>
    <n v="5"/>
    <n v="16.399999999999999"/>
    <n v="34.200000000000003"/>
    <n v="27"/>
    <n v="22.5"/>
    <n v="43.8"/>
    <n v="56.2"/>
    <n v="75.099999999999994"/>
    <n v="34.5"/>
    <n v="23.6"/>
    <n v="4.5999999999999996"/>
    <n v="0.37"/>
  </r>
  <r>
    <x v="8"/>
    <x v="0"/>
    <s v="Southern Europe"/>
    <x v="0"/>
    <x v="11"/>
    <x v="11"/>
    <n v="14565"/>
    <n v="139224"/>
    <n v="12290"/>
    <n v="0.2"/>
    <n v="46.7"/>
    <n v="34.299999999999997"/>
    <n v="39.1"/>
    <n v="30.5"/>
    <n v="27.7"/>
    <n v="32.5"/>
    <n v="30.3"/>
    <n v="21"/>
    <n v="11.1"/>
    <n v="5"/>
    <n v="16"/>
    <n v="33.4"/>
    <n v="30.3"/>
    <n v="20.399999999999999"/>
    <n v="41.2"/>
    <n v="58.8"/>
    <n v="73.5"/>
    <n v="33.5"/>
    <n v="26.7"/>
    <n v="4.7"/>
    <n v="0.4"/>
  </r>
  <r>
    <x v="8"/>
    <x v="0"/>
    <s v="Southern Europe"/>
    <x v="1"/>
    <x v="0"/>
    <x v="12"/>
    <n v="13788"/>
    <n v="153012"/>
    <n v="11480"/>
    <n v="0.28999999999999998"/>
    <n v="45.3"/>
    <n v="34.799999999999997"/>
    <n v="38.700000000000003"/>
    <n v="34.4"/>
    <n v="26.8"/>
    <n v="31.2"/>
    <n v="31.3"/>
    <n v="20.100000000000001"/>
    <n v="12.5"/>
    <n v="5"/>
    <n v="15.4"/>
    <n v="33.799999999999997"/>
    <n v="29.7"/>
    <n v="21.1"/>
    <n v="41.3"/>
    <n v="58.7"/>
    <n v="69"/>
    <n v="30.5"/>
    <n v="30.2"/>
    <n v="4.7"/>
    <n v="0.33"/>
  </r>
  <r>
    <x v="9"/>
    <x v="2"/>
    <s v="North America"/>
    <x v="0"/>
    <x v="0"/>
    <x v="0"/>
    <n v="19263"/>
    <n v="19263"/>
    <n v="15811"/>
    <n v="0.19"/>
    <n v="45.3"/>
    <n v="31.2"/>
    <n v="44.5"/>
    <n v="34.4"/>
    <n v="27.4"/>
    <n v="31.6"/>
    <n v="28.8"/>
    <n v="23.9"/>
    <n v="10.7"/>
    <n v="5"/>
    <n v="19.5"/>
    <n v="32.4"/>
    <n v="26.7"/>
    <n v="21.3"/>
    <n v="44.3"/>
    <n v="55.7"/>
    <n v="72.2"/>
    <n v="31.8"/>
    <n v="30.8"/>
    <n v="4"/>
    <n v="0.3"/>
  </r>
  <r>
    <x v="9"/>
    <x v="2"/>
    <s v="North America"/>
    <x v="0"/>
    <x v="1"/>
    <x v="1"/>
    <n v="20099"/>
    <n v="39362"/>
    <n v="16743"/>
    <n v="0.27"/>
    <n v="46.4"/>
    <n v="29.6"/>
    <n v="45.9"/>
    <n v="33.799999999999997"/>
    <n v="29.8"/>
    <n v="31.7"/>
    <n v="30.7"/>
    <n v="23"/>
    <n v="9.6"/>
    <n v="5"/>
    <n v="14"/>
    <n v="34.299999999999997"/>
    <n v="27.8"/>
    <n v="23.9"/>
    <n v="41.5"/>
    <n v="58.5"/>
    <n v="72.3"/>
    <n v="33.9"/>
    <n v="31.5"/>
    <n v="4.0999999999999996"/>
    <n v="0.36"/>
  </r>
  <r>
    <x v="9"/>
    <x v="2"/>
    <s v="North America"/>
    <x v="0"/>
    <x v="2"/>
    <x v="2"/>
    <n v="21953"/>
    <n v="61315"/>
    <n v="18317"/>
    <n v="0.19"/>
    <n v="45.4"/>
    <n v="31.9"/>
    <n v="47"/>
    <n v="34.6"/>
    <n v="29.6"/>
    <n v="34.5"/>
    <n v="28.7"/>
    <n v="19.600000000000001"/>
    <n v="12.2"/>
    <n v="5"/>
    <n v="14.8"/>
    <n v="33.5"/>
    <n v="29.5"/>
    <n v="22.3"/>
    <n v="44.2"/>
    <n v="55.8"/>
    <n v="75"/>
    <n v="29"/>
    <n v="28.8"/>
    <n v="4.0999999999999996"/>
    <n v="0.36"/>
  </r>
  <r>
    <x v="9"/>
    <x v="2"/>
    <s v="North America"/>
    <x v="0"/>
    <x v="3"/>
    <x v="3"/>
    <n v="23602"/>
    <n v="84917"/>
    <n v="19631"/>
    <n v="0.2"/>
    <n v="47.4"/>
    <n v="29.4"/>
    <n v="45.6"/>
    <n v="35.299999999999997"/>
    <n v="28.2"/>
    <n v="33.1"/>
    <n v="31"/>
    <n v="20.399999999999999"/>
    <n v="10.5"/>
    <n v="5"/>
    <n v="17.7"/>
    <n v="35.4"/>
    <n v="30"/>
    <n v="16.899999999999999"/>
    <n v="43.5"/>
    <n v="56.5"/>
    <n v="70.900000000000006"/>
    <n v="31"/>
    <n v="25.6"/>
    <n v="4.7"/>
    <n v="0.3"/>
  </r>
  <r>
    <x v="9"/>
    <x v="2"/>
    <s v="North America"/>
    <x v="0"/>
    <x v="4"/>
    <x v="4"/>
    <n v="22849"/>
    <n v="107766"/>
    <n v="18814"/>
    <n v="0.28999999999999998"/>
    <n v="46.6"/>
    <n v="29.4"/>
    <n v="45"/>
    <n v="36.4"/>
    <n v="30.1"/>
    <n v="32.299999999999997"/>
    <n v="30.2"/>
    <n v="20.2"/>
    <n v="12.3"/>
    <n v="5"/>
    <n v="20"/>
    <n v="32.700000000000003"/>
    <n v="27.8"/>
    <n v="19.5"/>
    <n v="42.4"/>
    <n v="57.6"/>
    <n v="75.099999999999994"/>
    <n v="27.8"/>
    <n v="24.6"/>
    <n v="4.5999999999999996"/>
    <n v="0.39"/>
  </r>
  <r>
    <x v="9"/>
    <x v="2"/>
    <s v="North America"/>
    <x v="0"/>
    <x v="5"/>
    <x v="5"/>
    <n v="25324"/>
    <n v="133090"/>
    <n v="22216"/>
    <n v="0.2"/>
    <n v="45.9"/>
    <n v="32.700000000000003"/>
    <n v="45.2"/>
    <n v="35.1"/>
    <n v="29.2"/>
    <n v="32.6"/>
    <n v="28.1"/>
    <n v="22.8"/>
    <n v="11.7"/>
    <n v="4.8"/>
    <n v="14.5"/>
    <n v="33.4"/>
    <n v="30.5"/>
    <n v="21.6"/>
    <n v="42.4"/>
    <n v="57.6"/>
    <n v="69.099999999999994"/>
    <n v="24.1"/>
    <n v="25.2"/>
    <n v="4.3"/>
    <n v="0.38"/>
  </r>
  <r>
    <x v="9"/>
    <x v="2"/>
    <s v="North America"/>
    <x v="0"/>
    <x v="6"/>
    <x v="6"/>
    <n v="24185"/>
    <n v="157275"/>
    <n v="20523"/>
    <n v="0.27"/>
    <n v="47"/>
    <n v="32.9"/>
    <n v="47.5"/>
    <n v="34.5"/>
    <n v="32.6"/>
    <n v="33"/>
    <n v="28.6"/>
    <n v="22.6"/>
    <n v="13.8"/>
    <n v="2"/>
    <n v="14.1"/>
    <n v="35.9"/>
    <n v="26.4"/>
    <n v="23.5"/>
    <n v="44.9"/>
    <n v="55.1"/>
    <n v="69.099999999999994"/>
    <n v="28.2"/>
    <n v="27.7"/>
    <n v="4.0999999999999996"/>
    <n v="0.32"/>
  </r>
  <r>
    <x v="9"/>
    <x v="2"/>
    <s v="North America"/>
    <x v="0"/>
    <x v="7"/>
    <x v="7"/>
    <n v="26870"/>
    <n v="184145"/>
    <n v="22111"/>
    <n v="0.28999999999999998"/>
    <n v="47"/>
    <n v="30.1"/>
    <n v="47"/>
    <n v="36.5"/>
    <n v="32.799999999999997"/>
    <n v="34.700000000000003"/>
    <n v="30.7"/>
    <n v="20.399999999999999"/>
    <n v="9.3000000000000007"/>
    <n v="5"/>
    <n v="17.600000000000001"/>
    <n v="34.6"/>
    <n v="28.6"/>
    <n v="19.2"/>
    <n v="41.4"/>
    <n v="58.6"/>
    <n v="68.599999999999994"/>
    <n v="28.2"/>
    <n v="22"/>
    <n v="4.0999999999999996"/>
    <n v="0.35"/>
  </r>
  <r>
    <x v="9"/>
    <x v="2"/>
    <s v="North America"/>
    <x v="0"/>
    <x v="8"/>
    <x v="8"/>
    <n v="28235"/>
    <n v="212380"/>
    <n v="23801"/>
    <n v="0.3"/>
    <n v="44.9"/>
    <n v="31.4"/>
    <n v="44.3"/>
    <n v="36.9"/>
    <n v="32.200000000000003"/>
    <n v="33.200000000000003"/>
    <n v="26.3"/>
    <n v="23.7"/>
    <n v="13.2"/>
    <n v="3.7"/>
    <n v="15.8"/>
    <n v="30.5"/>
    <n v="26.8"/>
    <n v="26.9"/>
    <n v="40.799999999999997"/>
    <n v="59.2"/>
    <n v="72.099999999999994"/>
    <n v="25.4"/>
    <n v="24.3"/>
    <n v="4.0999999999999996"/>
    <n v="0.36"/>
  </r>
  <r>
    <x v="9"/>
    <x v="2"/>
    <s v="North America"/>
    <x v="0"/>
    <x v="9"/>
    <x v="9"/>
    <n v="26394"/>
    <n v="238774"/>
    <n v="21649"/>
    <n v="0.27"/>
    <n v="46.4"/>
    <n v="30.1"/>
    <n v="45.8"/>
    <n v="35"/>
    <n v="31.6"/>
    <n v="30.4"/>
    <n v="28.3"/>
    <n v="24"/>
    <n v="12.4"/>
    <n v="5"/>
    <n v="17.3"/>
    <n v="32.9"/>
    <n v="30.6"/>
    <n v="19.3"/>
    <n v="40.4"/>
    <n v="59.6"/>
    <n v="70.8"/>
    <n v="33"/>
    <n v="31.9"/>
    <n v="4.0999999999999996"/>
    <n v="0.34"/>
  </r>
  <r>
    <x v="9"/>
    <x v="2"/>
    <s v="North America"/>
    <x v="0"/>
    <x v="10"/>
    <x v="10"/>
    <n v="31440"/>
    <n v="270214"/>
    <n v="26122"/>
    <n v="0.28999999999999998"/>
    <n v="45.5"/>
    <n v="31.3"/>
    <n v="46.6"/>
    <n v="38.5"/>
    <n v="33.9"/>
    <n v="36"/>
    <n v="26.8"/>
    <n v="22.1"/>
    <n v="11"/>
    <n v="4.2"/>
    <n v="14.8"/>
    <n v="31"/>
    <n v="30.7"/>
    <n v="23.5"/>
    <n v="45.3"/>
    <n v="54.7"/>
    <n v="75.900000000000006"/>
    <n v="24.9"/>
    <n v="24.3"/>
    <n v="4.3"/>
    <n v="0.36"/>
  </r>
  <r>
    <x v="9"/>
    <x v="2"/>
    <s v="North America"/>
    <x v="0"/>
    <x v="11"/>
    <x v="11"/>
    <n v="28469"/>
    <n v="298683"/>
    <n v="24150"/>
    <n v="0.26"/>
    <n v="46.2"/>
    <n v="31.2"/>
    <n v="44.6"/>
    <n v="36.9"/>
    <n v="34.200000000000003"/>
    <n v="31.4"/>
    <n v="29.3"/>
    <n v="22.3"/>
    <n v="12"/>
    <n v="5"/>
    <n v="17.100000000000001"/>
    <n v="31.7"/>
    <n v="26"/>
    <n v="25.2"/>
    <n v="43"/>
    <n v="57"/>
    <n v="73.900000000000006"/>
    <n v="22.3"/>
    <n v="27"/>
    <n v="4.4000000000000004"/>
    <n v="0.36"/>
  </r>
  <r>
    <x v="9"/>
    <x v="2"/>
    <s v="North America"/>
    <x v="1"/>
    <x v="0"/>
    <x v="12"/>
    <n v="30534"/>
    <n v="329217"/>
    <n v="25993"/>
    <n v="0.31"/>
    <n v="45.1"/>
    <n v="30"/>
    <n v="46.9"/>
    <n v="39.4"/>
    <n v="33.9"/>
    <n v="31.5"/>
    <n v="29"/>
    <n v="22.5"/>
    <n v="11.9"/>
    <n v="5"/>
    <n v="16.600000000000001"/>
    <n v="33.700000000000003"/>
    <n v="26.4"/>
    <n v="23.3"/>
    <n v="40.5"/>
    <n v="59.5"/>
    <n v="72.099999999999994"/>
    <n v="25"/>
    <n v="23.4"/>
    <n v="4.4000000000000004"/>
    <n v="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B6A7B-C36E-4AF4-991D-441F025487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B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monthly_analys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FD689-66D1-4F63-90FD-6770274A78C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P4:Q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iomarker_abnormal_rat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F66A9-A6AE-4992-8BCF-82FA42E5F441}" name="PivotTable11" cacheId="0" dataOnRows="1" applyNumberFormats="0" applyBorderFormats="0" applyFontFormats="0" applyPatternFormats="0" applyAlignmentFormats="0" applyWidthHeightFormats="1" dataCaption="Age Group" updatedVersion="8" minRefreshableVersion="3" useAutoFormatting="1" itemPrintTitles="1" createdVersion="8" indent="0" outline="1" outlineData="1" multipleFieldFilters="0" chartFormat="2" rowHeaderCaption="Region">
  <location ref="A62:B66" firstHeaderRow="1" firstDataRow="1" firstDataCol="1"/>
  <pivotFields count="35">
    <pivotField showAll="0">
      <items count="11">
        <item x="0"/>
        <item x="1"/>
        <item x="4"/>
        <item x="2"/>
        <item x="6"/>
        <item x="7"/>
        <item x="8"/>
        <item x="3"/>
        <item x="5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Age range 18-29" fld="20" subtotal="average" baseField="0" baseItem="0"/>
    <dataField name="Age range 30-40" fld="21" subtotal="average" baseField="0" baseItem="0"/>
    <dataField name="Age range 45-59" fld="22" subtotal="average" baseField="0" baseItem="0"/>
    <dataField name="Age range 60+" fld="2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E6A87-9D22-4E9C-B491-FFFFC43CCBF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M4:N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levated_critical_risk" fld="3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E8120-9840-492F-9A32-EDE8FF1DB5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J4:K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dition_cardiovascular_pct" fld="1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5C223-E244-4C9A-BCF2-129B917F633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25:D29" firstHeaderRow="0" firstDataRow="1" firstDataCol="1"/>
  <pivotFields count="35">
    <pivotField showAll="0">
      <items count="11">
        <item x="0"/>
        <item x="1"/>
        <item x="4"/>
        <item x="2"/>
        <item x="6"/>
        <item x="7"/>
        <item x="8"/>
        <item x="3"/>
        <item x="5"/>
        <item x="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cardiovascular_risk_score" fld="27" subtotal="average" baseField="0" baseItem="0"/>
    <dataField name="Average of avg_metabolic_risk_score" fld="28" subtotal="average" baseField="0" baseItem="0"/>
    <dataField name="Average of condition_cardiovascular_pct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A5F42-3370-4C4E-88C6-78EE08F4C1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4:H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Metabolic Risk Score" fld="2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D3194-83D8-464E-9759-EE4FD7739AA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H19:J32" firstHeaderRow="0" firstDataRow="1" firstDataCol="1"/>
  <pivotFields count="35"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ardiovascular Risk Score" fld="27" baseField="0" baseItem="0"/>
    <dataField name="Total Metabolic Risk Score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5474D-67DB-4521-B576-3F0A1C4A8C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D4:E8" firstHeaderRow="1" firstDataRow="1" firstDataCol="1"/>
  <pivotFields count="35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ardiovascular_Risk_Score" fld="2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D8447-ADAB-46C4-B537-C21950C46BD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72:F83" firstHeaderRow="0" firstDataRow="1" firstDataCol="1"/>
  <pivotFields count="35">
    <pivotField axis="axisRow" showAll="0">
      <items count="11">
        <item x="0"/>
        <item x="1"/>
        <item x="4"/>
        <item x="2"/>
        <item x="6"/>
        <item x="7"/>
        <item x="8"/>
        <item x="3"/>
        <item x="5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ptimal Risk " fld="15" subtotal="average" baseField="0" baseItem="0"/>
    <dataField name="Average Normal Risk" fld="16" subtotal="average" baseField="0" baseItem="0"/>
    <dataField name="Average Risk Attention" fld="17" subtotal="average" baseField="0" baseItem="0"/>
    <dataField name="Average Elevated Risk " fld="18" subtotal="average" baseField="0" baseItem="0"/>
    <dataField name="Average Critical Risk" fld="19" subtotal="average" baseField="0" baseItem="0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63247-C433-420A-9910-6378220A35AA}" name="PivotTable12" cacheId="0" dataOnRows="1" applyNumberFormats="0" applyBorderFormats="0" applyFontFormats="0" applyPatternFormats="0" applyAlignmentFormats="0" applyWidthHeightFormats="1" dataCaption="Gender" updatedVersion="8" minRefreshableVersion="3" useAutoFormatting="1" itemPrintTitles="1" createdVersion="8" indent="0" outline="1" outlineData="1" multipleFieldFilters="0" chartFormat="1" rowHeaderCaption="Region">
  <location ref="A51:B53" firstHeaderRow="1" firstDataRow="1" firstDataCol="1"/>
  <pivotFields count="35">
    <pivotField showAll="0">
      <items count="11">
        <item x="0"/>
        <item x="1"/>
        <item x="4"/>
        <item x="2"/>
        <item x="6"/>
        <item x="7"/>
        <item x="8"/>
        <item x="3"/>
        <item x="5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-2"/>
  </rowFields>
  <rowItems count="2">
    <i>
      <x/>
    </i>
    <i i="1">
      <x v="1"/>
    </i>
  </rowItems>
  <colItems count="1">
    <i/>
  </colItems>
  <dataFields count="2">
    <dataField name="Male" fld="24" subtotal="average" baseField="0" baseItem="0"/>
    <dataField name="Female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E93FEC-ABB5-474F-83E5-8018755CCD71}" autoFormatId="16" applyNumberFormats="0" applyBorderFormats="0" applyFontFormats="0" applyPatternFormats="0" applyAlignmentFormats="0" applyWidthHeightFormats="0">
  <queryTableRefresh nextId="32">
    <queryTableFields count="31">
      <queryTableField id="1" name="country_name" tableColumnId="1"/>
      <queryTableField id="2" name="region" tableColumnId="2"/>
      <queryTableField id="3" name="sub_region" tableColumnId="3"/>
      <queryTableField id="4" name="year" tableColumnId="4"/>
      <queryTableField id="5" name="month" tableColumnId="5"/>
      <queryTableField id="6" name="period" tableColumnId="6"/>
      <queryTableField id="7" name="monthly_analyses" tableColumnId="7"/>
      <queryTableField id="8" name="cumulative_analyses" tableColumnId="8"/>
      <queryTableField id="9" name="unique_users" tableColumnId="9"/>
      <queryTableField id="10" name="repeat_user_rate" tableColumnId="10"/>
      <queryTableField id="11" name="avg_biomarkers_per_test" tableColumnId="11"/>
      <queryTableField id="12" name="condition_healthy_pct" tableColumnId="12"/>
      <queryTableField id="13" name="condition_cardiovascular_pct" tableColumnId="13"/>
      <queryTableField id="14" name="condition_diabetes_pct" tableColumnId="14"/>
      <queryTableField id="15" name="condition_metabolic_syndrome_pct" tableColumnId="15"/>
      <queryTableField id="16" name="risk_optimal_pct" tableColumnId="16"/>
      <queryTableField id="17" name="risk_normal_pct" tableColumnId="17"/>
      <queryTableField id="18" name="risk_attention_pct" tableColumnId="18"/>
      <queryTableField id="19" name="risk_elevated_pct" tableColumnId="19"/>
      <queryTableField id="20" name="risk_critical_pct" tableColumnId="20"/>
      <queryTableField id="21" name="age_18_29_pct" tableColumnId="21"/>
      <queryTableField id="22" name="age_30_44_pct" tableColumnId="22"/>
      <queryTableField id="23" name="age_45_59_pct" tableColumnId="23"/>
      <queryTableField id="24" name="age_60_plus_pct" tableColumnId="24"/>
      <queryTableField id="25" name="gender_male_pct" tableColumnId="25"/>
      <queryTableField id="26" name="gender_female_pct" tableColumnId="26"/>
      <queryTableField id="27" name="avg_health_score" tableColumnId="27"/>
      <queryTableField id="28" name="avg_cardiovascular_risk_score" tableColumnId="28"/>
      <queryTableField id="29" name="avg_metabolic_risk_score" tableColumnId="29"/>
      <queryTableField id="30" name="avg_biomarkers_out_of_range" tableColumnId="30"/>
      <queryTableField id="31" name="biomarker_abnormal_rat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7E343-36C6-4420-A3C0-4801D6619D90}" name="health" displayName="health" ref="A1:AE131" tableType="queryTable" totalsRowShown="0">
  <autoFilter ref="A1:AE131" xr:uid="{7F97E343-36C6-4420-A3C0-4801D6619D90}"/>
  <tableColumns count="31">
    <tableColumn id="1" xr3:uid="{0730BFB2-E423-46E6-B239-06A024AA2A9A}" uniqueName="1" name="country_name" queryTableFieldId="1" dataDxfId="4"/>
    <tableColumn id="2" xr3:uid="{5E0E2C5F-14B3-474B-92D4-1FC425069814}" uniqueName="2" name="region" queryTableFieldId="2" dataDxfId="3"/>
    <tableColumn id="3" xr3:uid="{5FB489AC-502E-4F21-9B28-0B4268F50933}" uniqueName="3" name="sub_region" queryTableFieldId="3" dataDxfId="2"/>
    <tableColumn id="4" xr3:uid="{75C3BB6D-0B1E-4C9A-985F-A5A68852711A}" uniqueName="4" name="year" queryTableFieldId="4"/>
    <tableColumn id="5" xr3:uid="{54CD1060-3070-42AE-BB8C-5C3A7F82E424}" uniqueName="5" name="month" queryTableFieldId="5"/>
    <tableColumn id="6" xr3:uid="{1EE8E81D-0724-4F8B-BDBB-5542106FA256}" uniqueName="6" name="period" queryTableFieldId="6" dataDxfId="1"/>
    <tableColumn id="7" xr3:uid="{B2FB93F7-3EDF-4D21-A3BE-03E759891EB7}" uniqueName="7" name="monthly_analyses" queryTableFieldId="7"/>
    <tableColumn id="8" xr3:uid="{33F7BA0D-352C-4B4D-80C6-1BEF67A86172}" uniqueName="8" name="cumulative_analyses" queryTableFieldId="8"/>
    <tableColumn id="9" xr3:uid="{B279E2C3-AA17-48FD-914D-76C8B9B39FAA}" uniqueName="9" name="unique_users" queryTableFieldId="9"/>
    <tableColumn id="10" xr3:uid="{C6D0107C-7FD9-4211-8820-965601280D49}" uniqueName="10" name="repeat_user_rate" queryTableFieldId="10"/>
    <tableColumn id="11" xr3:uid="{CC752E09-0E48-4FD2-8AF1-D112A14EEEE6}" uniqueName="11" name="biomarkers_per_test" queryTableFieldId="11"/>
    <tableColumn id="12" xr3:uid="{8B0561C3-5B1C-4F6D-9848-31C19D90E3FF}" uniqueName="12" name="condition_healthy_pct" queryTableFieldId="12"/>
    <tableColumn id="13" xr3:uid="{49FD8FEC-3942-4581-B836-4F0FF1EEB9CE}" uniqueName="13" name="condition_cardiovascular_pct" queryTableFieldId="13"/>
    <tableColumn id="14" xr3:uid="{7E6744B7-7D1F-4D1D-B788-20FBF1890C43}" uniqueName="14" name="condition_diabetes_pct" queryTableFieldId="14"/>
    <tableColumn id="15" xr3:uid="{7313C9A2-0C7A-4BD6-8D69-247466DE164D}" uniqueName="15" name="condition_metabolic_syndrome_pct" queryTableFieldId="15"/>
    <tableColumn id="16" xr3:uid="{6A376277-50EF-4523-9D53-83E626721298}" uniqueName="16" name="risk_optimal_pct" queryTableFieldId="16"/>
    <tableColumn id="17" xr3:uid="{0826ECC4-D136-4557-B996-FDBA2B2A6DA4}" uniqueName="17" name="risk_normal_pct" queryTableFieldId="17"/>
    <tableColumn id="18" xr3:uid="{7F9FC2AF-BBA3-4C48-AEF4-7C9FB2D9D202}" uniqueName="18" name="risk_attention_pct" queryTableFieldId="18"/>
    <tableColumn id="19" xr3:uid="{ADA31FCD-AE84-4E33-B429-DFCC4D5A11CD}" uniqueName="19" name="risk_elevated_pct" queryTableFieldId="19"/>
    <tableColumn id="20" xr3:uid="{91744747-3CC0-47E5-85B3-E5EF9DE7EF57}" uniqueName="20" name="risk_critical_pct" queryTableFieldId="20"/>
    <tableColumn id="21" xr3:uid="{B50D83C5-B779-4345-89BE-729126869A7D}" uniqueName="21" name="age_18_29_pct" queryTableFieldId="21"/>
    <tableColumn id="22" xr3:uid="{C6ABB02B-FEFE-4563-AF81-132DCD05C3EE}" uniqueName="22" name="age_30_44_pct" queryTableFieldId="22"/>
    <tableColumn id="23" xr3:uid="{34016695-0F40-4B4C-A84B-A08A22E6FDA7}" uniqueName="23" name="age_45_59_pct" queryTableFieldId="23"/>
    <tableColumn id="24" xr3:uid="{A0C3AAAA-F156-4B9F-A7E2-A93045A68B8B}" uniqueName="24" name="age_60_plus_pct" queryTableFieldId="24"/>
    <tableColumn id="25" xr3:uid="{6E8C9DB0-B0E2-40ED-9AE4-7D3B3700BCF8}" uniqueName="25" name="gender_male_pct" queryTableFieldId="25"/>
    <tableColumn id="26" xr3:uid="{61D22137-BB35-4963-BE89-87FB2D8081BD}" uniqueName="26" name="gender_female_pct" queryTableFieldId="26"/>
    <tableColumn id="27" xr3:uid="{52E69C9B-2938-431F-B794-2D53D5699B35}" uniqueName="27" name="avg_health_score" queryTableFieldId="27"/>
    <tableColumn id="28" xr3:uid="{9C20F02B-074B-44CC-80D1-21C311A8D59D}" uniqueName="28" name="avg_cardiovascular_risk_score" queryTableFieldId="28"/>
    <tableColumn id="29" xr3:uid="{3CAD9E2B-604A-4D86-A19B-45F1695CFEEC}" uniqueName="29" name="avg_metabolic_risk_score" queryTableFieldId="29"/>
    <tableColumn id="30" xr3:uid="{87678AA5-7B5E-4DC5-A639-9D06C25C8907}" uniqueName="30" name="avg_biomarkers_out_of_range" queryTableFieldId="30"/>
    <tableColumn id="31" xr3:uid="{B0C7EF13-A2A8-41E5-87FA-EA0800AAE41F}" uniqueName="31" name="biomarker_abnormal_rat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8542-82FE-42FF-AE74-A23D26757304}">
  <dimension ref="A1:AW131"/>
  <sheetViews>
    <sheetView topLeftCell="AO1" workbookViewId="0">
      <selection activeCell="A7" sqref="A7"/>
    </sheetView>
  </sheetViews>
  <sheetFormatPr defaultRowHeight="15" x14ac:dyDescent="0.25"/>
  <cols>
    <col min="1" max="1" width="12.7109375" bestFit="1" customWidth="1"/>
    <col min="2" max="2" width="15.140625" bestFit="1" customWidth="1"/>
    <col min="3" max="3" width="13.85546875" bestFit="1" customWidth="1"/>
    <col min="4" max="4" width="15.5703125" bestFit="1" customWidth="1"/>
    <col min="5" max="5" width="5" bestFit="1" customWidth="1"/>
    <col min="6" max="6" width="6.7109375" bestFit="1" customWidth="1"/>
    <col min="7" max="7" width="7.7109375" bestFit="1" customWidth="1"/>
    <col min="8" max="8" width="17" bestFit="1" customWidth="1"/>
    <col min="9" max="9" width="19.7109375" bestFit="1" customWidth="1"/>
    <col min="10" max="10" width="12.85546875" bestFit="1" customWidth="1"/>
    <col min="11" max="11" width="15.7109375" bestFit="1" customWidth="1"/>
    <col min="12" max="12" width="23.140625" bestFit="1" customWidth="1"/>
    <col min="13" max="13" width="20.5703125" bestFit="1" customWidth="1"/>
    <col min="14" max="14" width="27.7109375" bestFit="1" customWidth="1"/>
    <col min="15" max="15" width="21.85546875" bestFit="1" customWidth="1"/>
    <col min="16" max="16" width="33" bestFit="1" customWidth="1"/>
    <col min="17" max="17" width="20.85546875" bestFit="1" customWidth="1"/>
    <col min="18" max="18" width="20.28515625" bestFit="1" customWidth="1"/>
    <col min="19" max="19" width="32.85546875" bestFit="1" customWidth="1"/>
    <col min="20" max="20" width="35" bestFit="1" customWidth="1"/>
    <col min="21" max="21" width="17.85546875" bestFit="1" customWidth="1"/>
    <col min="22" max="22" width="19.85546875" bestFit="1" customWidth="1"/>
    <col min="23" max="23" width="26.42578125" bestFit="1" customWidth="1"/>
    <col min="24" max="24" width="15.7109375" bestFit="1" customWidth="1"/>
    <col min="25" max="25" width="15.28515625" bestFit="1" customWidth="1"/>
    <col min="26" max="26" width="16.7109375" bestFit="1" customWidth="1"/>
    <col min="27" max="27" width="16.140625" bestFit="1" customWidth="1"/>
    <col min="28" max="28" width="15" bestFit="1" customWidth="1"/>
    <col min="29" max="31" width="13.5703125" bestFit="1" customWidth="1"/>
    <col min="32" max="32" width="15.42578125" bestFit="1" customWidth="1"/>
    <col min="33" max="33" width="16" bestFit="1" customWidth="1"/>
    <col min="34" max="34" width="17.7109375" bestFit="1" customWidth="1"/>
    <col min="35" max="35" width="17" bestFit="1" customWidth="1"/>
    <col min="36" max="36" width="14.42578125" bestFit="1" customWidth="1"/>
    <col min="37" max="37" width="16.42578125" bestFit="1" customWidth="1"/>
    <col min="38" max="38" width="27.140625" bestFit="1" customWidth="1"/>
    <col min="39" max="39" width="28.7109375" bestFit="1" customWidth="1"/>
    <col min="40" max="40" width="17" bestFit="1" customWidth="1"/>
    <col min="41" max="41" width="16.28515625" bestFit="1" customWidth="1"/>
    <col min="42" max="42" width="28.5703125" bestFit="1" customWidth="1"/>
    <col min="43" max="43" width="24" bestFit="1" customWidth="1"/>
    <col min="44" max="44" width="17.7109375" bestFit="1" customWidth="1"/>
    <col min="45" max="47" width="25.85546875" bestFit="1" customWidth="1"/>
    <col min="48" max="48" width="27.7109375" bestFit="1" customWidth="1"/>
    <col min="49" max="49" width="24.42578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>
        <v>2025</v>
      </c>
      <c r="F2">
        <v>1</v>
      </c>
      <c r="G2" t="s">
        <v>53</v>
      </c>
      <c r="H2">
        <v>7660</v>
      </c>
      <c r="I2">
        <v>7660</v>
      </c>
      <c r="J2">
        <v>6718</v>
      </c>
      <c r="K2">
        <v>0.28000000000000003</v>
      </c>
      <c r="L2">
        <v>46.3</v>
      </c>
      <c r="M2">
        <v>32.4</v>
      </c>
      <c r="N2">
        <v>39.1</v>
      </c>
      <c r="O2">
        <v>31.2</v>
      </c>
      <c r="P2">
        <v>26.7</v>
      </c>
      <c r="Q2">
        <v>19.2</v>
      </c>
      <c r="R2">
        <v>14.8</v>
      </c>
      <c r="S2">
        <v>50.4</v>
      </c>
      <c r="T2">
        <v>10.199999999999999</v>
      </c>
      <c r="U2">
        <v>11.9</v>
      </c>
      <c r="V2">
        <v>10.199999999999999</v>
      </c>
      <c r="W2">
        <v>12</v>
      </c>
      <c r="X2">
        <v>33.200000000000003</v>
      </c>
      <c r="Y2">
        <v>29.3</v>
      </c>
      <c r="Z2">
        <v>20.5</v>
      </c>
      <c r="AA2">
        <v>12.1</v>
      </c>
      <c r="AB2">
        <v>5</v>
      </c>
      <c r="AC2">
        <v>14.8</v>
      </c>
      <c r="AD2">
        <v>31.8</v>
      </c>
      <c r="AE2">
        <v>27.8</v>
      </c>
      <c r="AF2">
        <v>25.6</v>
      </c>
      <c r="AG2">
        <v>42.7</v>
      </c>
      <c r="AH2">
        <v>57.3</v>
      </c>
      <c r="AI2">
        <v>69.900000000000006</v>
      </c>
      <c r="AJ2">
        <v>30.1</v>
      </c>
      <c r="AK2">
        <v>44.9</v>
      </c>
      <c r="AL2">
        <v>43.7</v>
      </c>
      <c r="AM2">
        <v>35.6</v>
      </c>
      <c r="AN2" t="s">
        <v>54</v>
      </c>
      <c r="AO2">
        <v>69.599999999999994</v>
      </c>
      <c r="AP2">
        <v>29.2</v>
      </c>
      <c r="AQ2">
        <v>27.1</v>
      </c>
      <c r="AR2">
        <v>58.7</v>
      </c>
      <c r="AS2" t="s">
        <v>55</v>
      </c>
      <c r="AT2" t="s">
        <v>56</v>
      </c>
      <c r="AU2" t="s">
        <v>57</v>
      </c>
      <c r="AV2">
        <v>4.7</v>
      </c>
      <c r="AW2">
        <v>0.4</v>
      </c>
    </row>
    <row r="3" spans="1:49" x14ac:dyDescent="0.25">
      <c r="A3" t="s">
        <v>49</v>
      </c>
      <c r="B3" t="s">
        <v>50</v>
      </c>
      <c r="C3" t="s">
        <v>51</v>
      </c>
      <c r="D3" t="s">
        <v>52</v>
      </c>
      <c r="E3">
        <v>2025</v>
      </c>
      <c r="F3">
        <v>2</v>
      </c>
      <c r="G3" t="s">
        <v>58</v>
      </c>
      <c r="H3">
        <v>8833</v>
      </c>
      <c r="I3">
        <v>16493</v>
      </c>
      <c r="J3">
        <v>7404</v>
      </c>
      <c r="K3">
        <v>0.19</v>
      </c>
      <c r="L3">
        <v>46.6</v>
      </c>
      <c r="M3">
        <v>34.299999999999997</v>
      </c>
      <c r="N3">
        <v>41</v>
      </c>
      <c r="O3">
        <v>28.1</v>
      </c>
      <c r="P3">
        <v>28.3</v>
      </c>
      <c r="Q3">
        <v>17.399999999999999</v>
      </c>
      <c r="R3">
        <v>16.7</v>
      </c>
      <c r="S3">
        <v>48.4</v>
      </c>
      <c r="T3">
        <v>9.3000000000000007</v>
      </c>
      <c r="U3">
        <v>12.9</v>
      </c>
      <c r="V3">
        <v>10.3</v>
      </c>
      <c r="W3">
        <v>13.6</v>
      </c>
      <c r="X3">
        <v>33.9</v>
      </c>
      <c r="Y3">
        <v>30.1</v>
      </c>
      <c r="Z3">
        <v>20.399999999999999</v>
      </c>
      <c r="AA3">
        <v>13.6</v>
      </c>
      <c r="AB3">
        <v>2</v>
      </c>
      <c r="AC3">
        <v>14.5</v>
      </c>
      <c r="AD3">
        <v>31.2</v>
      </c>
      <c r="AE3">
        <v>26.2</v>
      </c>
      <c r="AF3">
        <v>28.1</v>
      </c>
      <c r="AG3">
        <v>42</v>
      </c>
      <c r="AH3">
        <v>58</v>
      </c>
      <c r="AI3">
        <v>65.900000000000006</v>
      </c>
      <c r="AJ3">
        <v>34.1</v>
      </c>
      <c r="AK3">
        <v>44.3</v>
      </c>
      <c r="AL3">
        <v>43.4</v>
      </c>
      <c r="AM3">
        <v>42.2</v>
      </c>
      <c r="AN3" t="s">
        <v>54</v>
      </c>
      <c r="AO3">
        <v>70.2</v>
      </c>
      <c r="AP3">
        <v>33.6</v>
      </c>
      <c r="AQ3">
        <v>24.3</v>
      </c>
      <c r="AR3">
        <v>61.9</v>
      </c>
      <c r="AS3" t="s">
        <v>55</v>
      </c>
      <c r="AT3" t="s">
        <v>56</v>
      </c>
      <c r="AU3" t="s">
        <v>57</v>
      </c>
      <c r="AV3">
        <v>3.7</v>
      </c>
      <c r="AW3">
        <v>0.4</v>
      </c>
    </row>
    <row r="4" spans="1:49" x14ac:dyDescent="0.25">
      <c r="A4" t="s">
        <v>49</v>
      </c>
      <c r="B4" t="s">
        <v>50</v>
      </c>
      <c r="C4" t="s">
        <v>51</v>
      </c>
      <c r="D4" t="s">
        <v>52</v>
      </c>
      <c r="E4">
        <v>2025</v>
      </c>
      <c r="F4">
        <v>3</v>
      </c>
      <c r="G4" t="s">
        <v>59</v>
      </c>
      <c r="H4">
        <v>9412</v>
      </c>
      <c r="I4">
        <v>25905</v>
      </c>
      <c r="J4">
        <v>7830</v>
      </c>
      <c r="K4">
        <v>0.18</v>
      </c>
      <c r="L4">
        <v>46.9</v>
      </c>
      <c r="M4">
        <v>34.1</v>
      </c>
      <c r="N4">
        <v>42.3</v>
      </c>
      <c r="O4">
        <v>28.6</v>
      </c>
      <c r="P4">
        <v>26.5</v>
      </c>
      <c r="Q4">
        <v>16.899999999999999</v>
      </c>
      <c r="R4">
        <v>17.3</v>
      </c>
      <c r="S4">
        <v>50.2</v>
      </c>
      <c r="T4">
        <v>8.6999999999999993</v>
      </c>
      <c r="U4">
        <v>11.5</v>
      </c>
      <c r="V4">
        <v>10.6</v>
      </c>
      <c r="W4">
        <v>12.1</v>
      </c>
      <c r="X4">
        <v>33.200000000000003</v>
      </c>
      <c r="Y4">
        <v>31.4</v>
      </c>
      <c r="Z4">
        <v>20.9</v>
      </c>
      <c r="AA4">
        <v>9.6</v>
      </c>
      <c r="AB4">
        <v>5</v>
      </c>
      <c r="AC4">
        <v>18.3</v>
      </c>
      <c r="AD4">
        <v>34.6</v>
      </c>
      <c r="AE4">
        <v>28.8</v>
      </c>
      <c r="AF4">
        <v>18.3</v>
      </c>
      <c r="AG4">
        <v>44.6</v>
      </c>
      <c r="AH4">
        <v>55.4</v>
      </c>
      <c r="AI4">
        <v>66.900000000000006</v>
      </c>
      <c r="AJ4">
        <v>33.1</v>
      </c>
      <c r="AK4">
        <v>40.299999999999997</v>
      </c>
      <c r="AL4">
        <v>48.4</v>
      </c>
      <c r="AM4">
        <v>37.799999999999997</v>
      </c>
      <c r="AN4" t="s">
        <v>54</v>
      </c>
      <c r="AO4">
        <v>72.2</v>
      </c>
      <c r="AP4">
        <v>28</v>
      </c>
      <c r="AQ4">
        <v>20.3</v>
      </c>
      <c r="AR4">
        <v>59.5</v>
      </c>
      <c r="AS4" t="s">
        <v>55</v>
      </c>
      <c r="AT4" t="s">
        <v>56</v>
      </c>
      <c r="AU4" t="s">
        <v>57</v>
      </c>
      <c r="AV4">
        <v>4.2</v>
      </c>
      <c r="AW4">
        <v>0.39</v>
      </c>
    </row>
    <row r="5" spans="1:49" x14ac:dyDescent="0.25">
      <c r="A5" t="s">
        <v>49</v>
      </c>
      <c r="B5" t="s">
        <v>50</v>
      </c>
      <c r="C5" t="s">
        <v>51</v>
      </c>
      <c r="D5" t="s">
        <v>52</v>
      </c>
      <c r="E5">
        <v>2025</v>
      </c>
      <c r="F5">
        <v>4</v>
      </c>
      <c r="G5" t="s">
        <v>60</v>
      </c>
      <c r="H5">
        <v>8657</v>
      </c>
      <c r="I5">
        <v>34562</v>
      </c>
      <c r="J5">
        <v>7311</v>
      </c>
      <c r="K5">
        <v>0.28999999999999998</v>
      </c>
      <c r="L5">
        <v>45.2</v>
      </c>
      <c r="M5">
        <v>34.799999999999997</v>
      </c>
      <c r="N5">
        <v>40</v>
      </c>
      <c r="O5">
        <v>32.299999999999997</v>
      </c>
      <c r="P5">
        <v>28.7</v>
      </c>
      <c r="Q5">
        <v>18.899999999999999</v>
      </c>
      <c r="R5">
        <v>17.3</v>
      </c>
      <c r="S5">
        <v>38.6</v>
      </c>
      <c r="T5">
        <v>8.3000000000000007</v>
      </c>
      <c r="U5">
        <v>14</v>
      </c>
      <c r="V5">
        <v>11.3</v>
      </c>
      <c r="W5">
        <v>13</v>
      </c>
      <c r="X5">
        <v>33.5</v>
      </c>
      <c r="Y5">
        <v>28.8</v>
      </c>
      <c r="Z5">
        <v>21.6</v>
      </c>
      <c r="AA5">
        <v>11.1</v>
      </c>
      <c r="AB5">
        <v>5</v>
      </c>
      <c r="AC5">
        <v>18.899999999999999</v>
      </c>
      <c r="AD5">
        <v>35.200000000000003</v>
      </c>
      <c r="AE5">
        <v>26</v>
      </c>
      <c r="AF5">
        <v>19.899999999999999</v>
      </c>
      <c r="AG5">
        <v>43.1</v>
      </c>
      <c r="AH5">
        <v>56.9</v>
      </c>
      <c r="AI5">
        <v>66.2</v>
      </c>
      <c r="AJ5">
        <v>33.799999999999997</v>
      </c>
      <c r="AK5">
        <v>42.6</v>
      </c>
      <c r="AL5">
        <v>47.2</v>
      </c>
      <c r="AM5">
        <v>41.3</v>
      </c>
      <c r="AN5" t="s">
        <v>54</v>
      </c>
      <c r="AO5">
        <v>69.8</v>
      </c>
      <c r="AP5">
        <v>23.7</v>
      </c>
      <c r="AQ5">
        <v>24.1</v>
      </c>
      <c r="AR5">
        <v>71.2</v>
      </c>
      <c r="AS5" t="s">
        <v>55</v>
      </c>
      <c r="AT5" t="s">
        <v>56</v>
      </c>
      <c r="AU5" t="s">
        <v>57</v>
      </c>
      <c r="AV5">
        <v>4</v>
      </c>
      <c r="AW5">
        <v>0.4</v>
      </c>
    </row>
    <row r="6" spans="1:49" x14ac:dyDescent="0.25">
      <c r="A6" t="s">
        <v>49</v>
      </c>
      <c r="B6" t="s">
        <v>50</v>
      </c>
      <c r="C6" t="s">
        <v>51</v>
      </c>
      <c r="D6" t="s">
        <v>52</v>
      </c>
      <c r="E6">
        <v>2025</v>
      </c>
      <c r="F6">
        <v>5</v>
      </c>
      <c r="G6" t="s">
        <v>61</v>
      </c>
      <c r="H6">
        <v>10203</v>
      </c>
      <c r="I6">
        <v>44765</v>
      </c>
      <c r="J6">
        <v>8520</v>
      </c>
      <c r="K6">
        <v>0.25</v>
      </c>
      <c r="L6">
        <v>45.4</v>
      </c>
      <c r="M6">
        <v>33.9</v>
      </c>
      <c r="N6">
        <v>41.9</v>
      </c>
      <c r="O6">
        <v>30.9</v>
      </c>
      <c r="P6">
        <v>26.1</v>
      </c>
      <c r="Q6">
        <v>17.5</v>
      </c>
      <c r="R6">
        <v>17.399999999999999</v>
      </c>
      <c r="S6">
        <v>36.799999999999997</v>
      </c>
      <c r="T6">
        <v>8.1</v>
      </c>
      <c r="U6">
        <v>12.8</v>
      </c>
      <c r="V6">
        <v>12.7</v>
      </c>
      <c r="W6">
        <v>11.8</v>
      </c>
      <c r="X6">
        <v>34.200000000000003</v>
      </c>
      <c r="Y6">
        <v>27.5</v>
      </c>
      <c r="Z6">
        <v>22.5</v>
      </c>
      <c r="AA6">
        <v>10.8</v>
      </c>
      <c r="AB6">
        <v>5</v>
      </c>
      <c r="AC6">
        <v>17.8</v>
      </c>
      <c r="AD6">
        <v>33.799999999999997</v>
      </c>
      <c r="AE6">
        <v>28.7</v>
      </c>
      <c r="AF6">
        <v>19.7</v>
      </c>
      <c r="AG6">
        <v>40.5</v>
      </c>
      <c r="AH6">
        <v>59.5</v>
      </c>
      <c r="AI6">
        <v>70.400000000000006</v>
      </c>
      <c r="AJ6">
        <v>29.6</v>
      </c>
      <c r="AK6">
        <v>45.4</v>
      </c>
      <c r="AL6">
        <v>42.2</v>
      </c>
      <c r="AM6">
        <v>39.6</v>
      </c>
      <c r="AN6" t="s">
        <v>54</v>
      </c>
      <c r="AO6">
        <v>70.599999999999994</v>
      </c>
      <c r="AP6">
        <v>24.6</v>
      </c>
      <c r="AQ6">
        <v>20.5</v>
      </c>
      <c r="AR6">
        <v>66.3</v>
      </c>
      <c r="AS6" t="s">
        <v>55</v>
      </c>
      <c r="AT6" t="s">
        <v>56</v>
      </c>
      <c r="AU6" t="s">
        <v>57</v>
      </c>
      <c r="AV6">
        <v>3.9</v>
      </c>
      <c r="AW6">
        <v>0.36</v>
      </c>
    </row>
    <row r="7" spans="1:49" x14ac:dyDescent="0.25">
      <c r="A7" t="s">
        <v>49</v>
      </c>
      <c r="B7" t="s">
        <v>50</v>
      </c>
      <c r="C7" t="s">
        <v>51</v>
      </c>
      <c r="D7" t="s">
        <v>52</v>
      </c>
      <c r="E7">
        <v>2025</v>
      </c>
      <c r="F7">
        <v>6</v>
      </c>
      <c r="G7" t="s">
        <v>62</v>
      </c>
      <c r="H7">
        <v>9461</v>
      </c>
      <c r="I7">
        <v>54226</v>
      </c>
      <c r="J7">
        <v>8150</v>
      </c>
      <c r="K7">
        <v>0.23</v>
      </c>
      <c r="L7">
        <v>47.3</v>
      </c>
      <c r="M7">
        <v>34.799999999999997</v>
      </c>
      <c r="N7">
        <v>40.1</v>
      </c>
      <c r="O7">
        <v>32.9</v>
      </c>
      <c r="P7">
        <v>29.8</v>
      </c>
      <c r="Q7">
        <v>17.399999999999999</v>
      </c>
      <c r="R7">
        <v>16.7</v>
      </c>
      <c r="S7">
        <v>38.799999999999997</v>
      </c>
      <c r="T7">
        <v>9.4</v>
      </c>
      <c r="U7">
        <v>12.9</v>
      </c>
      <c r="V7">
        <v>10.4</v>
      </c>
      <c r="W7">
        <v>11.3</v>
      </c>
      <c r="X7">
        <v>35.200000000000003</v>
      </c>
      <c r="Y7">
        <v>29.8</v>
      </c>
      <c r="Z7">
        <v>20</v>
      </c>
      <c r="AA7">
        <v>10.7</v>
      </c>
      <c r="AB7">
        <v>4.2</v>
      </c>
      <c r="AC7">
        <v>18.399999999999999</v>
      </c>
      <c r="AD7">
        <v>35.4</v>
      </c>
      <c r="AE7">
        <v>30.4</v>
      </c>
      <c r="AF7">
        <v>15.8</v>
      </c>
      <c r="AG7">
        <v>44.7</v>
      </c>
      <c r="AH7">
        <v>55.3</v>
      </c>
      <c r="AI7">
        <v>68.400000000000006</v>
      </c>
      <c r="AJ7">
        <v>31.6</v>
      </c>
      <c r="AK7">
        <v>40.1</v>
      </c>
      <c r="AL7">
        <v>43</v>
      </c>
      <c r="AM7">
        <v>41</v>
      </c>
      <c r="AN7" t="s">
        <v>54</v>
      </c>
      <c r="AO7">
        <v>68.7</v>
      </c>
      <c r="AP7">
        <v>24.3</v>
      </c>
      <c r="AQ7">
        <v>30.8</v>
      </c>
      <c r="AR7">
        <v>66.5</v>
      </c>
      <c r="AS7" t="s">
        <v>55</v>
      </c>
      <c r="AT7" t="s">
        <v>56</v>
      </c>
      <c r="AU7" t="s">
        <v>57</v>
      </c>
      <c r="AV7">
        <v>3.6</v>
      </c>
      <c r="AW7">
        <v>0.32</v>
      </c>
    </row>
    <row r="8" spans="1:49" x14ac:dyDescent="0.25">
      <c r="A8" t="s">
        <v>49</v>
      </c>
      <c r="B8" t="s">
        <v>50</v>
      </c>
      <c r="C8" t="s">
        <v>51</v>
      </c>
      <c r="D8" t="s">
        <v>52</v>
      </c>
      <c r="E8">
        <v>2025</v>
      </c>
      <c r="F8">
        <v>7</v>
      </c>
      <c r="G8" t="s">
        <v>63</v>
      </c>
      <c r="H8">
        <v>10544</v>
      </c>
      <c r="I8">
        <v>64770</v>
      </c>
      <c r="J8">
        <v>9083</v>
      </c>
      <c r="K8">
        <v>0.27</v>
      </c>
      <c r="L8">
        <v>45.2</v>
      </c>
      <c r="M8">
        <v>35.1</v>
      </c>
      <c r="N8">
        <v>41.1</v>
      </c>
      <c r="O8">
        <v>32.5</v>
      </c>
      <c r="P8">
        <v>29.3</v>
      </c>
      <c r="Q8">
        <v>19.8</v>
      </c>
      <c r="R8">
        <v>16.7</v>
      </c>
      <c r="S8">
        <v>39.1</v>
      </c>
      <c r="T8">
        <v>8</v>
      </c>
      <c r="U8">
        <v>12.4</v>
      </c>
      <c r="V8">
        <v>10.5</v>
      </c>
      <c r="W8">
        <v>11.5</v>
      </c>
      <c r="X8">
        <v>31.1</v>
      </c>
      <c r="Y8">
        <v>31.4</v>
      </c>
      <c r="Z8">
        <v>21.8</v>
      </c>
      <c r="AA8">
        <v>13</v>
      </c>
      <c r="AB8">
        <v>2.7</v>
      </c>
      <c r="AC8">
        <v>17</v>
      </c>
      <c r="AD8">
        <v>33.5</v>
      </c>
      <c r="AE8">
        <v>28.5</v>
      </c>
      <c r="AF8">
        <v>21.1</v>
      </c>
      <c r="AG8">
        <v>41.2</v>
      </c>
      <c r="AH8">
        <v>58.8</v>
      </c>
      <c r="AI8">
        <v>69.2</v>
      </c>
      <c r="AJ8">
        <v>30.8</v>
      </c>
      <c r="AK8">
        <v>47.5</v>
      </c>
      <c r="AL8">
        <v>51.5</v>
      </c>
      <c r="AM8">
        <v>43.2</v>
      </c>
      <c r="AN8" t="s">
        <v>54</v>
      </c>
      <c r="AO8">
        <v>70.2</v>
      </c>
      <c r="AP8">
        <v>22.3</v>
      </c>
      <c r="AQ8">
        <v>27.7</v>
      </c>
      <c r="AR8">
        <v>60.5</v>
      </c>
      <c r="AS8" t="s">
        <v>55</v>
      </c>
      <c r="AT8" t="s">
        <v>56</v>
      </c>
      <c r="AU8" t="s">
        <v>57</v>
      </c>
      <c r="AV8">
        <v>4</v>
      </c>
      <c r="AW8">
        <v>0.3</v>
      </c>
    </row>
    <row r="9" spans="1:49" x14ac:dyDescent="0.25">
      <c r="A9" t="s">
        <v>49</v>
      </c>
      <c r="B9" t="s">
        <v>50</v>
      </c>
      <c r="C9" t="s">
        <v>51</v>
      </c>
      <c r="D9" t="s">
        <v>52</v>
      </c>
      <c r="E9">
        <v>2025</v>
      </c>
      <c r="F9">
        <v>8</v>
      </c>
      <c r="G9" t="s">
        <v>64</v>
      </c>
      <c r="H9">
        <v>11693</v>
      </c>
      <c r="I9">
        <v>76463</v>
      </c>
      <c r="J9">
        <v>9888</v>
      </c>
      <c r="K9">
        <v>0.32</v>
      </c>
      <c r="L9">
        <v>47.4</v>
      </c>
      <c r="M9">
        <v>35.200000000000003</v>
      </c>
      <c r="N9">
        <v>41.5</v>
      </c>
      <c r="O9">
        <v>33.200000000000003</v>
      </c>
      <c r="P9">
        <v>28.4</v>
      </c>
      <c r="Q9">
        <v>17.100000000000001</v>
      </c>
      <c r="R9">
        <v>16.399999999999999</v>
      </c>
      <c r="S9">
        <v>40.799999999999997</v>
      </c>
      <c r="T9">
        <v>9.8000000000000007</v>
      </c>
      <c r="U9">
        <v>13</v>
      </c>
      <c r="V9">
        <v>10</v>
      </c>
      <c r="W9">
        <v>12.3</v>
      </c>
      <c r="X9">
        <v>29.4</v>
      </c>
      <c r="Y9">
        <v>29.4</v>
      </c>
      <c r="Z9">
        <v>23.5</v>
      </c>
      <c r="AA9">
        <v>12.7</v>
      </c>
      <c r="AB9">
        <v>5</v>
      </c>
      <c r="AC9">
        <v>18.2</v>
      </c>
      <c r="AD9">
        <v>34.200000000000003</v>
      </c>
      <c r="AE9">
        <v>27.8</v>
      </c>
      <c r="AF9">
        <v>19.8</v>
      </c>
      <c r="AG9">
        <v>41.8</v>
      </c>
      <c r="AH9">
        <v>58.2</v>
      </c>
      <c r="AI9">
        <v>70.099999999999994</v>
      </c>
      <c r="AJ9">
        <v>29.9</v>
      </c>
      <c r="AK9">
        <v>44</v>
      </c>
      <c r="AL9">
        <v>50</v>
      </c>
      <c r="AM9">
        <v>40.799999999999997</v>
      </c>
      <c r="AN9" t="s">
        <v>54</v>
      </c>
      <c r="AO9">
        <v>74.5</v>
      </c>
      <c r="AP9">
        <v>34.1</v>
      </c>
      <c r="AQ9">
        <v>31</v>
      </c>
      <c r="AR9">
        <v>65.2</v>
      </c>
      <c r="AS9" t="s">
        <v>55</v>
      </c>
      <c r="AT9" t="s">
        <v>56</v>
      </c>
      <c r="AU9" t="s">
        <v>57</v>
      </c>
      <c r="AV9">
        <v>4.4000000000000004</v>
      </c>
      <c r="AW9">
        <v>0.38</v>
      </c>
    </row>
    <row r="10" spans="1:49" x14ac:dyDescent="0.25">
      <c r="A10" t="s">
        <v>49</v>
      </c>
      <c r="B10" t="s">
        <v>50</v>
      </c>
      <c r="C10" t="s">
        <v>51</v>
      </c>
      <c r="D10" t="s">
        <v>52</v>
      </c>
      <c r="E10">
        <v>2025</v>
      </c>
      <c r="F10">
        <v>9</v>
      </c>
      <c r="G10" t="s">
        <v>65</v>
      </c>
      <c r="H10">
        <v>12137</v>
      </c>
      <c r="I10">
        <v>88600</v>
      </c>
      <c r="J10">
        <v>10198</v>
      </c>
      <c r="K10">
        <v>0.23</v>
      </c>
      <c r="L10">
        <v>44.8</v>
      </c>
      <c r="M10">
        <v>34.299999999999997</v>
      </c>
      <c r="N10">
        <v>42</v>
      </c>
      <c r="O10">
        <v>32.299999999999997</v>
      </c>
      <c r="P10">
        <v>28.6</v>
      </c>
      <c r="Q10">
        <v>18.8</v>
      </c>
      <c r="R10">
        <v>14.8</v>
      </c>
      <c r="S10">
        <v>36.6</v>
      </c>
      <c r="T10">
        <v>10.199999999999999</v>
      </c>
      <c r="U10">
        <v>12.4</v>
      </c>
      <c r="V10">
        <v>10.1</v>
      </c>
      <c r="W10">
        <v>12.3</v>
      </c>
      <c r="X10">
        <v>32.799999999999997</v>
      </c>
      <c r="Y10">
        <v>32.1</v>
      </c>
      <c r="Z10">
        <v>20.8</v>
      </c>
      <c r="AA10">
        <v>9.3000000000000007</v>
      </c>
      <c r="AB10">
        <v>5</v>
      </c>
      <c r="AC10">
        <v>17.2</v>
      </c>
      <c r="AD10">
        <v>33.200000000000003</v>
      </c>
      <c r="AE10">
        <v>29.2</v>
      </c>
      <c r="AF10">
        <v>20.399999999999999</v>
      </c>
      <c r="AG10">
        <v>44.4</v>
      </c>
      <c r="AH10">
        <v>55.6</v>
      </c>
      <c r="AI10">
        <v>71.8</v>
      </c>
      <c r="AJ10">
        <v>28.2</v>
      </c>
      <c r="AK10">
        <v>43.5</v>
      </c>
      <c r="AL10">
        <v>42.8</v>
      </c>
      <c r="AM10">
        <v>35.200000000000003</v>
      </c>
      <c r="AN10" t="s">
        <v>54</v>
      </c>
      <c r="AO10">
        <v>72.099999999999994</v>
      </c>
      <c r="AP10">
        <v>26.5</v>
      </c>
      <c r="AQ10">
        <v>29.5</v>
      </c>
      <c r="AR10">
        <v>61.8</v>
      </c>
      <c r="AS10" t="s">
        <v>55</v>
      </c>
      <c r="AT10" t="s">
        <v>56</v>
      </c>
      <c r="AU10" t="s">
        <v>57</v>
      </c>
      <c r="AV10">
        <v>4.8</v>
      </c>
      <c r="AW10">
        <v>0.38</v>
      </c>
    </row>
    <row r="11" spans="1:49" x14ac:dyDescent="0.25">
      <c r="A11" t="s">
        <v>49</v>
      </c>
      <c r="B11" t="s">
        <v>50</v>
      </c>
      <c r="C11" t="s">
        <v>51</v>
      </c>
      <c r="D11" t="s">
        <v>52</v>
      </c>
      <c r="E11">
        <v>2025</v>
      </c>
      <c r="F11">
        <v>10</v>
      </c>
      <c r="G11" t="s">
        <v>66</v>
      </c>
      <c r="H11">
        <v>11783</v>
      </c>
      <c r="I11">
        <v>100383</v>
      </c>
      <c r="J11">
        <v>9951</v>
      </c>
      <c r="K11">
        <v>0.2</v>
      </c>
      <c r="L11">
        <v>45</v>
      </c>
      <c r="M11">
        <v>34.200000000000003</v>
      </c>
      <c r="N11">
        <v>43.1</v>
      </c>
      <c r="O11">
        <v>33</v>
      </c>
      <c r="P11">
        <v>29</v>
      </c>
      <c r="Q11">
        <v>20.2</v>
      </c>
      <c r="R11">
        <v>16.899999999999999</v>
      </c>
      <c r="S11">
        <v>48.9</v>
      </c>
      <c r="T11">
        <v>9.5</v>
      </c>
      <c r="U11">
        <v>12.6</v>
      </c>
      <c r="V11">
        <v>10.4</v>
      </c>
      <c r="W11">
        <v>12.1</v>
      </c>
      <c r="X11">
        <v>33.200000000000003</v>
      </c>
      <c r="Y11">
        <v>30.5</v>
      </c>
      <c r="Z11">
        <v>22.1</v>
      </c>
      <c r="AA11">
        <v>9.1999999999999993</v>
      </c>
      <c r="AB11">
        <v>5</v>
      </c>
      <c r="AC11">
        <v>19.100000000000001</v>
      </c>
      <c r="AD11">
        <v>34.200000000000003</v>
      </c>
      <c r="AE11">
        <v>28.4</v>
      </c>
      <c r="AF11">
        <v>18.3</v>
      </c>
      <c r="AG11">
        <v>40.6</v>
      </c>
      <c r="AH11">
        <v>59.4</v>
      </c>
      <c r="AI11">
        <v>66.900000000000006</v>
      </c>
      <c r="AJ11">
        <v>33.1</v>
      </c>
      <c r="AK11">
        <v>44.9</v>
      </c>
      <c r="AL11">
        <v>48.4</v>
      </c>
      <c r="AM11">
        <v>35.4</v>
      </c>
      <c r="AN11" t="s">
        <v>54</v>
      </c>
      <c r="AO11">
        <v>71.8</v>
      </c>
      <c r="AP11">
        <v>24.4</v>
      </c>
      <c r="AQ11">
        <v>25.2</v>
      </c>
      <c r="AR11">
        <v>63.6</v>
      </c>
      <c r="AS11" t="s">
        <v>55</v>
      </c>
      <c r="AT11" t="s">
        <v>56</v>
      </c>
      <c r="AU11" t="s">
        <v>57</v>
      </c>
      <c r="AV11">
        <v>4</v>
      </c>
      <c r="AW11">
        <v>0.36</v>
      </c>
    </row>
    <row r="12" spans="1:49" x14ac:dyDescent="0.25">
      <c r="A12" t="s">
        <v>49</v>
      </c>
      <c r="B12" t="s">
        <v>50</v>
      </c>
      <c r="C12" t="s">
        <v>51</v>
      </c>
      <c r="D12" t="s">
        <v>52</v>
      </c>
      <c r="E12">
        <v>2025</v>
      </c>
      <c r="F12">
        <v>11</v>
      </c>
      <c r="G12" t="s">
        <v>67</v>
      </c>
      <c r="H12">
        <v>11791</v>
      </c>
      <c r="I12">
        <v>112174</v>
      </c>
      <c r="J12">
        <v>10274</v>
      </c>
      <c r="K12">
        <v>0.27</v>
      </c>
      <c r="L12">
        <v>45</v>
      </c>
      <c r="M12">
        <v>35</v>
      </c>
      <c r="N12">
        <v>40.5</v>
      </c>
      <c r="O12">
        <v>33</v>
      </c>
      <c r="P12">
        <v>32.1</v>
      </c>
      <c r="Q12">
        <v>18.7</v>
      </c>
      <c r="R12">
        <v>15.9</v>
      </c>
      <c r="S12">
        <v>48.9</v>
      </c>
      <c r="T12">
        <v>9.1</v>
      </c>
      <c r="U12">
        <v>12.9</v>
      </c>
      <c r="V12">
        <v>12.5</v>
      </c>
      <c r="W12">
        <v>12.5</v>
      </c>
      <c r="X12">
        <v>37.1</v>
      </c>
      <c r="Y12">
        <v>28.6</v>
      </c>
      <c r="Z12">
        <v>19.8</v>
      </c>
      <c r="AA12">
        <v>9.5</v>
      </c>
      <c r="AB12">
        <v>5</v>
      </c>
      <c r="AC12">
        <v>14.1</v>
      </c>
      <c r="AD12">
        <v>30.6</v>
      </c>
      <c r="AE12">
        <v>29.4</v>
      </c>
      <c r="AF12">
        <v>25.9</v>
      </c>
      <c r="AG12">
        <v>40.4</v>
      </c>
      <c r="AH12">
        <v>59.6</v>
      </c>
      <c r="AI12">
        <v>65.2</v>
      </c>
      <c r="AJ12">
        <v>34.799999999999997</v>
      </c>
      <c r="AK12">
        <v>40.9</v>
      </c>
      <c r="AL12">
        <v>49</v>
      </c>
      <c r="AM12">
        <v>40.700000000000003</v>
      </c>
      <c r="AN12" t="s">
        <v>54</v>
      </c>
      <c r="AO12">
        <v>74.8</v>
      </c>
      <c r="AP12">
        <v>22.3</v>
      </c>
      <c r="AQ12">
        <v>29.8</v>
      </c>
      <c r="AR12">
        <v>61.9</v>
      </c>
      <c r="AS12" t="s">
        <v>55</v>
      </c>
      <c r="AT12" t="s">
        <v>56</v>
      </c>
      <c r="AU12" t="s">
        <v>57</v>
      </c>
      <c r="AV12">
        <v>4.7</v>
      </c>
      <c r="AW12">
        <v>0.37</v>
      </c>
    </row>
    <row r="13" spans="1:49" x14ac:dyDescent="0.25">
      <c r="A13" t="s">
        <v>49</v>
      </c>
      <c r="B13" t="s">
        <v>50</v>
      </c>
      <c r="C13" t="s">
        <v>51</v>
      </c>
      <c r="D13" t="s">
        <v>52</v>
      </c>
      <c r="E13">
        <v>2025</v>
      </c>
      <c r="F13">
        <v>12</v>
      </c>
      <c r="G13" t="s">
        <v>68</v>
      </c>
      <c r="H13">
        <v>12736</v>
      </c>
      <c r="I13">
        <v>124910</v>
      </c>
      <c r="J13">
        <v>10659</v>
      </c>
      <c r="K13">
        <v>0.2</v>
      </c>
      <c r="L13">
        <v>46.8</v>
      </c>
      <c r="M13">
        <v>34.799999999999997</v>
      </c>
      <c r="N13">
        <v>42.2</v>
      </c>
      <c r="O13">
        <v>32.5</v>
      </c>
      <c r="P13">
        <v>31.8</v>
      </c>
      <c r="Q13">
        <v>17.8</v>
      </c>
      <c r="R13">
        <v>17.5</v>
      </c>
      <c r="S13">
        <v>51.4</v>
      </c>
      <c r="T13">
        <v>9</v>
      </c>
      <c r="U13">
        <v>13.6</v>
      </c>
      <c r="V13">
        <v>12</v>
      </c>
      <c r="W13">
        <v>12</v>
      </c>
      <c r="X13">
        <v>32</v>
      </c>
      <c r="Y13">
        <v>31</v>
      </c>
      <c r="Z13">
        <v>19.899999999999999</v>
      </c>
      <c r="AA13">
        <v>13.5</v>
      </c>
      <c r="AB13">
        <v>3.6</v>
      </c>
      <c r="AC13">
        <v>16.3</v>
      </c>
      <c r="AD13">
        <v>30.1</v>
      </c>
      <c r="AE13">
        <v>30.5</v>
      </c>
      <c r="AF13">
        <v>23.1</v>
      </c>
      <c r="AG13">
        <v>40.5</v>
      </c>
      <c r="AH13">
        <v>59.5</v>
      </c>
      <c r="AI13">
        <v>65.2</v>
      </c>
      <c r="AJ13">
        <v>34.799999999999997</v>
      </c>
      <c r="AK13">
        <v>43.6</v>
      </c>
      <c r="AL13">
        <v>44.9</v>
      </c>
      <c r="AM13">
        <v>38</v>
      </c>
      <c r="AN13" t="s">
        <v>54</v>
      </c>
      <c r="AO13">
        <v>75.599999999999994</v>
      </c>
      <c r="AP13">
        <v>35.299999999999997</v>
      </c>
      <c r="AQ13">
        <v>26.9</v>
      </c>
      <c r="AR13">
        <v>66.8</v>
      </c>
      <c r="AS13" t="s">
        <v>55</v>
      </c>
      <c r="AT13" t="s">
        <v>56</v>
      </c>
      <c r="AU13" t="s">
        <v>57</v>
      </c>
      <c r="AV13">
        <v>4.4000000000000004</v>
      </c>
      <c r="AW13">
        <v>0.38</v>
      </c>
    </row>
    <row r="14" spans="1:49" x14ac:dyDescent="0.25">
      <c r="A14" t="s">
        <v>49</v>
      </c>
      <c r="B14" t="s">
        <v>50</v>
      </c>
      <c r="C14" t="s">
        <v>51</v>
      </c>
      <c r="D14" t="s">
        <v>52</v>
      </c>
      <c r="E14">
        <v>2026</v>
      </c>
      <c r="F14">
        <v>1</v>
      </c>
      <c r="G14" t="s">
        <v>69</v>
      </c>
      <c r="H14">
        <v>13090</v>
      </c>
      <c r="I14">
        <v>138000</v>
      </c>
      <c r="J14">
        <v>11353</v>
      </c>
      <c r="K14">
        <v>0.19</v>
      </c>
      <c r="L14">
        <v>46</v>
      </c>
      <c r="M14">
        <v>31.5</v>
      </c>
      <c r="N14">
        <v>42.5</v>
      </c>
      <c r="O14">
        <v>34.9</v>
      </c>
      <c r="P14">
        <v>30.5</v>
      </c>
      <c r="Q14">
        <v>16.899999999999999</v>
      </c>
      <c r="R14">
        <v>15.1</v>
      </c>
      <c r="S14">
        <v>49.4</v>
      </c>
      <c r="T14">
        <v>9.6</v>
      </c>
      <c r="U14">
        <v>11.6</v>
      </c>
      <c r="V14">
        <v>10</v>
      </c>
      <c r="W14">
        <v>13.1</v>
      </c>
      <c r="X14">
        <v>35.5</v>
      </c>
      <c r="Y14">
        <v>30.9</v>
      </c>
      <c r="Z14">
        <v>19.2</v>
      </c>
      <c r="AA14">
        <v>9.4</v>
      </c>
      <c r="AB14">
        <v>5</v>
      </c>
      <c r="AC14">
        <v>19.899999999999999</v>
      </c>
      <c r="AD14">
        <v>32.200000000000003</v>
      </c>
      <c r="AE14">
        <v>27.9</v>
      </c>
      <c r="AF14">
        <v>20</v>
      </c>
      <c r="AG14">
        <v>44.9</v>
      </c>
      <c r="AH14">
        <v>55.1</v>
      </c>
      <c r="AI14">
        <v>71.5</v>
      </c>
      <c r="AJ14">
        <v>28.5</v>
      </c>
      <c r="AK14">
        <v>46.2</v>
      </c>
      <c r="AL14">
        <v>47.6</v>
      </c>
      <c r="AM14">
        <v>38.799999999999997</v>
      </c>
      <c r="AN14" t="s">
        <v>54</v>
      </c>
      <c r="AO14">
        <v>75.900000000000006</v>
      </c>
      <c r="AP14">
        <v>32.5</v>
      </c>
      <c r="AQ14">
        <v>24.5</v>
      </c>
      <c r="AR14">
        <v>59.2</v>
      </c>
      <c r="AS14" t="s">
        <v>55</v>
      </c>
      <c r="AT14" t="s">
        <v>56</v>
      </c>
      <c r="AU14" t="s">
        <v>57</v>
      </c>
      <c r="AV14">
        <v>4.7</v>
      </c>
      <c r="AW14">
        <v>0.31</v>
      </c>
    </row>
    <row r="15" spans="1:49" x14ac:dyDescent="0.25">
      <c r="A15" t="s">
        <v>70</v>
      </c>
      <c r="B15" t="s">
        <v>71</v>
      </c>
      <c r="C15" t="s">
        <v>72</v>
      </c>
      <c r="D15" t="s">
        <v>72</v>
      </c>
      <c r="E15">
        <v>2025</v>
      </c>
      <c r="F15">
        <v>1</v>
      </c>
      <c r="G15" t="s">
        <v>53</v>
      </c>
      <c r="H15">
        <v>15604</v>
      </c>
      <c r="I15">
        <v>15604</v>
      </c>
      <c r="J15">
        <v>12805</v>
      </c>
      <c r="K15">
        <v>0.25</v>
      </c>
      <c r="L15">
        <v>44.7</v>
      </c>
      <c r="M15">
        <v>34.700000000000003</v>
      </c>
      <c r="N15">
        <v>34.299999999999997</v>
      </c>
      <c r="O15">
        <v>32.200000000000003</v>
      </c>
      <c r="P15">
        <v>22.7</v>
      </c>
      <c r="Q15">
        <v>33.299999999999997</v>
      </c>
      <c r="R15">
        <v>13</v>
      </c>
      <c r="S15">
        <v>15.7</v>
      </c>
      <c r="T15">
        <v>10.5</v>
      </c>
      <c r="U15">
        <v>11.8</v>
      </c>
      <c r="V15">
        <v>12.8</v>
      </c>
      <c r="W15">
        <v>12.5</v>
      </c>
      <c r="X15">
        <v>28.4</v>
      </c>
      <c r="Y15">
        <v>31.4</v>
      </c>
      <c r="Z15">
        <v>21.2</v>
      </c>
      <c r="AA15">
        <v>14</v>
      </c>
      <c r="AB15">
        <v>5</v>
      </c>
      <c r="AC15">
        <v>14.4</v>
      </c>
      <c r="AD15">
        <v>33.299999999999997</v>
      </c>
      <c r="AE15">
        <v>30.8</v>
      </c>
      <c r="AF15">
        <v>21.4</v>
      </c>
      <c r="AG15">
        <v>43.1</v>
      </c>
      <c r="AH15">
        <v>56.9</v>
      </c>
      <c r="AI15">
        <v>68.3</v>
      </c>
      <c r="AJ15">
        <v>31.7</v>
      </c>
      <c r="AK15">
        <v>47.2</v>
      </c>
      <c r="AL15">
        <v>42.5</v>
      </c>
      <c r="AM15">
        <v>37.5</v>
      </c>
      <c r="AN15" t="s">
        <v>73</v>
      </c>
      <c r="AO15">
        <v>73.599999999999994</v>
      </c>
      <c r="AP15">
        <v>28.4</v>
      </c>
      <c r="AQ15">
        <v>27.5</v>
      </c>
      <c r="AR15">
        <v>66.2</v>
      </c>
      <c r="AS15" t="s">
        <v>74</v>
      </c>
      <c r="AT15" t="s">
        <v>75</v>
      </c>
      <c r="AU15" t="s">
        <v>76</v>
      </c>
      <c r="AV15">
        <v>4.7</v>
      </c>
      <c r="AW15">
        <v>0.39</v>
      </c>
    </row>
    <row r="16" spans="1:49" x14ac:dyDescent="0.25">
      <c r="A16" t="s">
        <v>70</v>
      </c>
      <c r="B16" t="s">
        <v>71</v>
      </c>
      <c r="C16" t="s">
        <v>72</v>
      </c>
      <c r="D16" t="s">
        <v>72</v>
      </c>
      <c r="E16">
        <v>2025</v>
      </c>
      <c r="F16">
        <v>2</v>
      </c>
      <c r="G16" t="s">
        <v>58</v>
      </c>
      <c r="H16">
        <v>16704</v>
      </c>
      <c r="I16">
        <v>32308</v>
      </c>
      <c r="J16">
        <v>14318</v>
      </c>
      <c r="K16">
        <v>0.22</v>
      </c>
      <c r="L16">
        <v>45.1</v>
      </c>
      <c r="M16">
        <v>34.4</v>
      </c>
      <c r="N16">
        <v>34.200000000000003</v>
      </c>
      <c r="O16">
        <v>29.8</v>
      </c>
      <c r="P16">
        <v>24.7</v>
      </c>
      <c r="Q16">
        <v>33.4</v>
      </c>
      <c r="R16">
        <v>14</v>
      </c>
      <c r="S16">
        <v>16.899999999999999</v>
      </c>
      <c r="T16">
        <v>8.8000000000000007</v>
      </c>
      <c r="U16">
        <v>13.5</v>
      </c>
      <c r="V16">
        <v>12</v>
      </c>
      <c r="W16">
        <v>12.8</v>
      </c>
      <c r="X16">
        <v>33.5</v>
      </c>
      <c r="Y16">
        <v>30.9</v>
      </c>
      <c r="Z16">
        <v>21.5</v>
      </c>
      <c r="AA16">
        <v>12.1</v>
      </c>
      <c r="AB16">
        <v>2</v>
      </c>
      <c r="AC16">
        <v>16.5</v>
      </c>
      <c r="AD16">
        <v>35.6</v>
      </c>
      <c r="AE16">
        <v>30.3</v>
      </c>
      <c r="AF16">
        <v>17.600000000000001</v>
      </c>
      <c r="AG16">
        <v>40.299999999999997</v>
      </c>
      <c r="AH16">
        <v>59.7</v>
      </c>
      <c r="AI16">
        <v>62.3</v>
      </c>
      <c r="AJ16">
        <v>37.700000000000003</v>
      </c>
      <c r="AK16">
        <v>44.8</v>
      </c>
      <c r="AL16">
        <v>45.8</v>
      </c>
      <c r="AM16">
        <v>43.7</v>
      </c>
      <c r="AN16" t="s">
        <v>73</v>
      </c>
      <c r="AO16">
        <v>71</v>
      </c>
      <c r="AP16">
        <v>33.299999999999997</v>
      </c>
      <c r="AQ16">
        <v>31.8</v>
      </c>
      <c r="AR16">
        <v>60.1</v>
      </c>
      <c r="AS16" t="s">
        <v>74</v>
      </c>
      <c r="AT16" t="s">
        <v>75</v>
      </c>
      <c r="AU16" t="s">
        <v>76</v>
      </c>
      <c r="AV16">
        <v>4.5999999999999996</v>
      </c>
      <c r="AW16">
        <v>0.38</v>
      </c>
    </row>
    <row r="17" spans="1:49" x14ac:dyDescent="0.25">
      <c r="A17" t="s">
        <v>70</v>
      </c>
      <c r="B17" t="s">
        <v>71</v>
      </c>
      <c r="C17" t="s">
        <v>72</v>
      </c>
      <c r="D17" t="s">
        <v>72</v>
      </c>
      <c r="E17">
        <v>2025</v>
      </c>
      <c r="F17">
        <v>3</v>
      </c>
      <c r="G17" t="s">
        <v>59</v>
      </c>
      <c r="H17">
        <v>17935</v>
      </c>
      <c r="I17">
        <v>50243</v>
      </c>
      <c r="J17">
        <v>15153</v>
      </c>
      <c r="K17">
        <v>0.22</v>
      </c>
      <c r="L17">
        <v>44.7</v>
      </c>
      <c r="M17">
        <v>33.200000000000003</v>
      </c>
      <c r="N17">
        <v>36</v>
      </c>
      <c r="O17">
        <v>33.799999999999997</v>
      </c>
      <c r="P17">
        <v>23.4</v>
      </c>
      <c r="Q17">
        <v>32.6</v>
      </c>
      <c r="R17">
        <v>14.7</v>
      </c>
      <c r="S17">
        <v>18.399999999999999</v>
      </c>
      <c r="T17">
        <v>8.6</v>
      </c>
      <c r="U17">
        <v>12.5</v>
      </c>
      <c r="V17">
        <v>10.3</v>
      </c>
      <c r="W17">
        <v>14.2</v>
      </c>
      <c r="X17">
        <v>30.9</v>
      </c>
      <c r="Y17">
        <v>30.8</v>
      </c>
      <c r="Z17">
        <v>22.5</v>
      </c>
      <c r="AA17">
        <v>10.8</v>
      </c>
      <c r="AB17">
        <v>5</v>
      </c>
      <c r="AC17">
        <v>14.7</v>
      </c>
      <c r="AD17">
        <v>34</v>
      </c>
      <c r="AE17">
        <v>28.6</v>
      </c>
      <c r="AF17">
        <v>22.7</v>
      </c>
      <c r="AG17">
        <v>44.6</v>
      </c>
      <c r="AH17">
        <v>55.4</v>
      </c>
      <c r="AI17">
        <v>67.2</v>
      </c>
      <c r="AJ17">
        <v>32.799999999999997</v>
      </c>
      <c r="AK17">
        <v>43.2</v>
      </c>
      <c r="AL17">
        <v>43.3</v>
      </c>
      <c r="AM17">
        <v>35.299999999999997</v>
      </c>
      <c r="AN17" t="s">
        <v>73</v>
      </c>
      <c r="AO17">
        <v>74.8</v>
      </c>
      <c r="AP17">
        <v>29.7</v>
      </c>
      <c r="AQ17">
        <v>26.7</v>
      </c>
      <c r="AR17">
        <v>70.3</v>
      </c>
      <c r="AS17" t="s">
        <v>74</v>
      </c>
      <c r="AT17" t="s">
        <v>75</v>
      </c>
      <c r="AU17" t="s">
        <v>76</v>
      </c>
      <c r="AV17">
        <v>4.5</v>
      </c>
      <c r="AW17">
        <v>0.36</v>
      </c>
    </row>
    <row r="18" spans="1:49" x14ac:dyDescent="0.25">
      <c r="A18" t="s">
        <v>70</v>
      </c>
      <c r="B18" t="s">
        <v>71</v>
      </c>
      <c r="C18" t="s">
        <v>72</v>
      </c>
      <c r="D18" t="s">
        <v>72</v>
      </c>
      <c r="E18">
        <v>2025</v>
      </c>
      <c r="F18">
        <v>4</v>
      </c>
      <c r="G18" t="s">
        <v>60</v>
      </c>
      <c r="H18">
        <v>18614</v>
      </c>
      <c r="I18">
        <v>68857</v>
      </c>
      <c r="J18">
        <v>15501</v>
      </c>
      <c r="K18">
        <v>0.2</v>
      </c>
      <c r="L18">
        <v>44.5</v>
      </c>
      <c r="M18">
        <v>31.4</v>
      </c>
      <c r="N18">
        <v>33.700000000000003</v>
      </c>
      <c r="O18">
        <v>31.8</v>
      </c>
      <c r="P18">
        <v>25.2</v>
      </c>
      <c r="Q18">
        <v>30.9</v>
      </c>
      <c r="R18">
        <v>13.4</v>
      </c>
      <c r="S18">
        <v>17.8</v>
      </c>
      <c r="T18">
        <v>9.1</v>
      </c>
      <c r="U18">
        <v>13</v>
      </c>
      <c r="V18">
        <v>12.5</v>
      </c>
      <c r="W18">
        <v>14.1</v>
      </c>
      <c r="X18">
        <v>35.4</v>
      </c>
      <c r="Y18">
        <v>29</v>
      </c>
      <c r="Z18">
        <v>19.5</v>
      </c>
      <c r="AA18">
        <v>11.3</v>
      </c>
      <c r="AB18">
        <v>4.8</v>
      </c>
      <c r="AC18">
        <v>19.899999999999999</v>
      </c>
      <c r="AD18">
        <v>33</v>
      </c>
      <c r="AE18">
        <v>27.6</v>
      </c>
      <c r="AF18">
        <v>19.5</v>
      </c>
      <c r="AG18">
        <v>43.8</v>
      </c>
      <c r="AH18">
        <v>56.2</v>
      </c>
      <c r="AI18">
        <v>64.400000000000006</v>
      </c>
      <c r="AJ18">
        <v>35.6</v>
      </c>
      <c r="AK18">
        <v>41.1</v>
      </c>
      <c r="AL18">
        <v>48.4</v>
      </c>
      <c r="AM18">
        <v>36.6</v>
      </c>
      <c r="AN18" t="s">
        <v>73</v>
      </c>
      <c r="AO18">
        <v>68.599999999999994</v>
      </c>
      <c r="AP18">
        <v>23.8</v>
      </c>
      <c r="AQ18">
        <v>21.5</v>
      </c>
      <c r="AR18">
        <v>60.1</v>
      </c>
      <c r="AS18" t="s">
        <v>74</v>
      </c>
      <c r="AT18" t="s">
        <v>75</v>
      </c>
      <c r="AU18" t="s">
        <v>76</v>
      </c>
      <c r="AV18">
        <v>4</v>
      </c>
      <c r="AW18">
        <v>0.39</v>
      </c>
    </row>
    <row r="19" spans="1:49" x14ac:dyDescent="0.25">
      <c r="A19" t="s">
        <v>70</v>
      </c>
      <c r="B19" t="s">
        <v>71</v>
      </c>
      <c r="C19" t="s">
        <v>72</v>
      </c>
      <c r="D19" t="s">
        <v>72</v>
      </c>
      <c r="E19">
        <v>2025</v>
      </c>
      <c r="F19">
        <v>5</v>
      </c>
      <c r="G19" t="s">
        <v>61</v>
      </c>
      <c r="H19">
        <v>18908</v>
      </c>
      <c r="I19">
        <v>87765</v>
      </c>
      <c r="J19">
        <v>16261</v>
      </c>
      <c r="K19">
        <v>0.2</v>
      </c>
      <c r="L19">
        <v>45.1</v>
      </c>
      <c r="M19">
        <v>34</v>
      </c>
      <c r="N19">
        <v>33.4</v>
      </c>
      <c r="O19">
        <v>31.1</v>
      </c>
      <c r="P19">
        <v>22.4</v>
      </c>
      <c r="Q19">
        <v>30</v>
      </c>
      <c r="R19">
        <v>13.3</v>
      </c>
      <c r="S19">
        <v>15.3</v>
      </c>
      <c r="T19">
        <v>9</v>
      </c>
      <c r="U19">
        <v>12.6</v>
      </c>
      <c r="V19">
        <v>12</v>
      </c>
      <c r="W19">
        <v>12.2</v>
      </c>
      <c r="X19">
        <v>33</v>
      </c>
      <c r="Y19">
        <v>26.5</v>
      </c>
      <c r="Z19">
        <v>23.2</v>
      </c>
      <c r="AA19">
        <v>13.6</v>
      </c>
      <c r="AB19">
        <v>3.6</v>
      </c>
      <c r="AC19">
        <v>14.4</v>
      </c>
      <c r="AD19">
        <v>31.7</v>
      </c>
      <c r="AE19">
        <v>30</v>
      </c>
      <c r="AF19">
        <v>23.9</v>
      </c>
      <c r="AG19">
        <v>44.5</v>
      </c>
      <c r="AH19">
        <v>55.5</v>
      </c>
      <c r="AI19">
        <v>63.8</v>
      </c>
      <c r="AJ19">
        <v>36.200000000000003</v>
      </c>
      <c r="AK19">
        <v>43</v>
      </c>
      <c r="AL19">
        <v>46.6</v>
      </c>
      <c r="AM19">
        <v>41.7</v>
      </c>
      <c r="AN19" t="s">
        <v>73</v>
      </c>
      <c r="AO19">
        <v>69.7</v>
      </c>
      <c r="AP19">
        <v>27.2</v>
      </c>
      <c r="AQ19">
        <v>25.8</v>
      </c>
      <c r="AR19">
        <v>66.7</v>
      </c>
      <c r="AS19" t="s">
        <v>74</v>
      </c>
      <c r="AT19" t="s">
        <v>75</v>
      </c>
      <c r="AU19" t="s">
        <v>76</v>
      </c>
      <c r="AV19">
        <v>3.6</v>
      </c>
      <c r="AW19">
        <v>0.33</v>
      </c>
    </row>
    <row r="20" spans="1:49" x14ac:dyDescent="0.25">
      <c r="A20" t="s">
        <v>70</v>
      </c>
      <c r="B20" t="s">
        <v>71</v>
      </c>
      <c r="C20" t="s">
        <v>72</v>
      </c>
      <c r="D20" t="s">
        <v>72</v>
      </c>
      <c r="E20">
        <v>2025</v>
      </c>
      <c r="F20">
        <v>6</v>
      </c>
      <c r="G20" t="s">
        <v>62</v>
      </c>
      <c r="H20">
        <v>20629</v>
      </c>
      <c r="I20">
        <v>108394</v>
      </c>
      <c r="J20">
        <v>18023</v>
      </c>
      <c r="K20">
        <v>0.25</v>
      </c>
      <c r="L20">
        <v>46.1</v>
      </c>
      <c r="M20">
        <v>33.200000000000003</v>
      </c>
      <c r="N20">
        <v>34.6</v>
      </c>
      <c r="O20">
        <v>31.7</v>
      </c>
      <c r="P20">
        <v>23.5</v>
      </c>
      <c r="Q20">
        <v>31</v>
      </c>
      <c r="R20">
        <v>12</v>
      </c>
      <c r="S20">
        <v>16.600000000000001</v>
      </c>
      <c r="T20">
        <v>8.5</v>
      </c>
      <c r="U20">
        <v>12.1</v>
      </c>
      <c r="V20">
        <v>10.3</v>
      </c>
      <c r="W20">
        <v>13.6</v>
      </c>
      <c r="X20">
        <v>33.6</v>
      </c>
      <c r="Y20">
        <v>30.9</v>
      </c>
      <c r="Z20">
        <v>21.1</v>
      </c>
      <c r="AA20">
        <v>9.4</v>
      </c>
      <c r="AB20">
        <v>5</v>
      </c>
      <c r="AC20">
        <v>17.2</v>
      </c>
      <c r="AD20">
        <v>33.5</v>
      </c>
      <c r="AE20">
        <v>29.7</v>
      </c>
      <c r="AF20">
        <v>19.5</v>
      </c>
      <c r="AG20">
        <v>42.6</v>
      </c>
      <c r="AH20">
        <v>57.4</v>
      </c>
      <c r="AI20">
        <v>63.3</v>
      </c>
      <c r="AJ20">
        <v>36.700000000000003</v>
      </c>
      <c r="AK20">
        <v>42.8</v>
      </c>
      <c r="AL20">
        <v>51.9</v>
      </c>
      <c r="AM20">
        <v>40.5</v>
      </c>
      <c r="AN20" t="s">
        <v>73</v>
      </c>
      <c r="AO20">
        <v>70.3</v>
      </c>
      <c r="AP20">
        <v>27.1</v>
      </c>
      <c r="AQ20">
        <v>27.8</v>
      </c>
      <c r="AR20">
        <v>66</v>
      </c>
      <c r="AS20" t="s">
        <v>74</v>
      </c>
      <c r="AT20" t="s">
        <v>75</v>
      </c>
      <c r="AU20" t="s">
        <v>76</v>
      </c>
      <c r="AV20">
        <v>3.9</v>
      </c>
      <c r="AW20">
        <v>0.31</v>
      </c>
    </row>
    <row r="21" spans="1:49" x14ac:dyDescent="0.25">
      <c r="A21" t="s">
        <v>70</v>
      </c>
      <c r="B21" t="s">
        <v>71</v>
      </c>
      <c r="C21" t="s">
        <v>72</v>
      </c>
      <c r="D21" t="s">
        <v>72</v>
      </c>
      <c r="E21">
        <v>2025</v>
      </c>
      <c r="F21">
        <v>7</v>
      </c>
      <c r="G21" t="s">
        <v>63</v>
      </c>
      <c r="H21">
        <v>19748</v>
      </c>
      <c r="I21">
        <v>128142</v>
      </c>
      <c r="J21">
        <v>16484</v>
      </c>
      <c r="K21">
        <v>0.2</v>
      </c>
      <c r="L21">
        <v>45.1</v>
      </c>
      <c r="M21">
        <v>31.8</v>
      </c>
      <c r="N21">
        <v>36.200000000000003</v>
      </c>
      <c r="O21">
        <v>31.3</v>
      </c>
      <c r="P21">
        <v>24.9</v>
      </c>
      <c r="Q21">
        <v>31.1</v>
      </c>
      <c r="R21">
        <v>14.8</v>
      </c>
      <c r="S21">
        <v>15.8</v>
      </c>
      <c r="T21">
        <v>9.1</v>
      </c>
      <c r="U21">
        <v>14</v>
      </c>
      <c r="V21">
        <v>12.5</v>
      </c>
      <c r="W21">
        <v>13.5</v>
      </c>
      <c r="X21">
        <v>29.5</v>
      </c>
      <c r="Y21">
        <v>30.1</v>
      </c>
      <c r="Z21">
        <v>23.7</v>
      </c>
      <c r="AA21">
        <v>11.8</v>
      </c>
      <c r="AB21">
        <v>5</v>
      </c>
      <c r="AC21">
        <v>17.399999999999999</v>
      </c>
      <c r="AD21">
        <v>31.7</v>
      </c>
      <c r="AE21">
        <v>29.8</v>
      </c>
      <c r="AF21">
        <v>21</v>
      </c>
      <c r="AG21">
        <v>41.1</v>
      </c>
      <c r="AH21">
        <v>58.9</v>
      </c>
      <c r="AI21">
        <v>65.2</v>
      </c>
      <c r="AJ21">
        <v>34.799999999999997</v>
      </c>
      <c r="AK21">
        <v>44.9</v>
      </c>
      <c r="AL21">
        <v>44.9</v>
      </c>
      <c r="AM21">
        <v>40.200000000000003</v>
      </c>
      <c r="AN21" t="s">
        <v>73</v>
      </c>
      <c r="AO21">
        <v>71.400000000000006</v>
      </c>
      <c r="AP21">
        <v>29.1</v>
      </c>
      <c r="AQ21">
        <v>22.9</v>
      </c>
      <c r="AR21">
        <v>59.6</v>
      </c>
      <c r="AS21" t="s">
        <v>74</v>
      </c>
      <c r="AT21" t="s">
        <v>75</v>
      </c>
      <c r="AU21" t="s">
        <v>76</v>
      </c>
      <c r="AV21">
        <v>3.8</v>
      </c>
      <c r="AW21">
        <v>0.35</v>
      </c>
    </row>
    <row r="22" spans="1:49" x14ac:dyDescent="0.25">
      <c r="A22" t="s">
        <v>70</v>
      </c>
      <c r="B22" t="s">
        <v>71</v>
      </c>
      <c r="C22" t="s">
        <v>72</v>
      </c>
      <c r="D22" t="s">
        <v>72</v>
      </c>
      <c r="E22">
        <v>2025</v>
      </c>
      <c r="F22">
        <v>8</v>
      </c>
      <c r="G22" t="s">
        <v>64</v>
      </c>
      <c r="H22">
        <v>21985</v>
      </c>
      <c r="I22">
        <v>150127</v>
      </c>
      <c r="J22">
        <v>18096</v>
      </c>
      <c r="K22">
        <v>0.23</v>
      </c>
      <c r="L22">
        <v>44.9</v>
      </c>
      <c r="M22">
        <v>34.1</v>
      </c>
      <c r="N22">
        <v>34</v>
      </c>
      <c r="O22">
        <v>34.5</v>
      </c>
      <c r="P22">
        <v>24.2</v>
      </c>
      <c r="Q22">
        <v>32.200000000000003</v>
      </c>
      <c r="R22">
        <v>14.2</v>
      </c>
      <c r="S22">
        <v>17.7</v>
      </c>
      <c r="T22">
        <v>9.3000000000000007</v>
      </c>
      <c r="U22">
        <v>12.3</v>
      </c>
      <c r="V22">
        <v>10.9</v>
      </c>
      <c r="W22">
        <v>13.8</v>
      </c>
      <c r="X22">
        <v>35.5</v>
      </c>
      <c r="Y22">
        <v>26.6</v>
      </c>
      <c r="Z22">
        <v>22.2</v>
      </c>
      <c r="AA22">
        <v>13.7</v>
      </c>
      <c r="AB22">
        <v>2</v>
      </c>
      <c r="AC22">
        <v>15.1</v>
      </c>
      <c r="AD22">
        <v>30.4</v>
      </c>
      <c r="AE22">
        <v>29.7</v>
      </c>
      <c r="AF22">
        <v>24.8</v>
      </c>
      <c r="AG22">
        <v>43.4</v>
      </c>
      <c r="AH22">
        <v>56.6</v>
      </c>
      <c r="AI22">
        <v>70.400000000000006</v>
      </c>
      <c r="AJ22">
        <v>29.6</v>
      </c>
      <c r="AK22">
        <v>41.3</v>
      </c>
      <c r="AL22">
        <v>50.1</v>
      </c>
      <c r="AM22">
        <v>41</v>
      </c>
      <c r="AN22" t="s">
        <v>73</v>
      </c>
      <c r="AO22">
        <v>69.099999999999994</v>
      </c>
      <c r="AP22">
        <v>33.1</v>
      </c>
      <c r="AQ22">
        <v>22.4</v>
      </c>
      <c r="AR22">
        <v>60.3</v>
      </c>
      <c r="AS22" t="s">
        <v>74</v>
      </c>
      <c r="AT22" t="s">
        <v>75</v>
      </c>
      <c r="AU22" t="s">
        <v>76</v>
      </c>
      <c r="AV22">
        <v>4.2</v>
      </c>
      <c r="AW22">
        <v>0.34</v>
      </c>
    </row>
    <row r="23" spans="1:49" x14ac:dyDescent="0.25">
      <c r="A23" t="s">
        <v>70</v>
      </c>
      <c r="B23" t="s">
        <v>71</v>
      </c>
      <c r="C23" t="s">
        <v>72</v>
      </c>
      <c r="D23" t="s">
        <v>72</v>
      </c>
      <c r="E23">
        <v>2025</v>
      </c>
      <c r="F23">
        <v>9</v>
      </c>
      <c r="G23" t="s">
        <v>65</v>
      </c>
      <c r="H23">
        <v>24210</v>
      </c>
      <c r="I23">
        <v>174337</v>
      </c>
      <c r="J23">
        <v>20422</v>
      </c>
      <c r="K23">
        <v>0.28999999999999998</v>
      </c>
      <c r="L23">
        <v>45.8</v>
      </c>
      <c r="M23">
        <v>34.6</v>
      </c>
      <c r="N23">
        <v>34.1</v>
      </c>
      <c r="O23">
        <v>34.6</v>
      </c>
      <c r="P23">
        <v>25.6</v>
      </c>
      <c r="Q23">
        <v>30.4</v>
      </c>
      <c r="R23">
        <v>14.6</v>
      </c>
      <c r="S23">
        <v>16.3</v>
      </c>
      <c r="T23">
        <v>9.5</v>
      </c>
      <c r="U23">
        <v>13.8</v>
      </c>
      <c r="V23">
        <v>11.8</v>
      </c>
      <c r="W23">
        <v>12.4</v>
      </c>
      <c r="X23">
        <v>33.9</v>
      </c>
      <c r="Y23">
        <v>28.7</v>
      </c>
      <c r="Z23">
        <v>19.5</v>
      </c>
      <c r="AA23">
        <v>13</v>
      </c>
      <c r="AB23">
        <v>5</v>
      </c>
      <c r="AC23">
        <v>17.7</v>
      </c>
      <c r="AD23">
        <v>33.200000000000003</v>
      </c>
      <c r="AE23">
        <v>30.5</v>
      </c>
      <c r="AF23">
        <v>18.600000000000001</v>
      </c>
      <c r="AG23">
        <v>44.7</v>
      </c>
      <c r="AH23">
        <v>55.3</v>
      </c>
      <c r="AI23">
        <v>63.5</v>
      </c>
      <c r="AJ23">
        <v>36.5</v>
      </c>
      <c r="AK23">
        <v>44.6</v>
      </c>
      <c r="AL23">
        <v>49.6</v>
      </c>
      <c r="AM23">
        <v>42.9</v>
      </c>
      <c r="AN23" t="s">
        <v>73</v>
      </c>
      <c r="AO23">
        <v>70.5</v>
      </c>
      <c r="AP23">
        <v>25.5</v>
      </c>
      <c r="AQ23">
        <v>28.9</v>
      </c>
      <c r="AR23">
        <v>58.5</v>
      </c>
      <c r="AS23" t="s">
        <v>74</v>
      </c>
      <c r="AT23" t="s">
        <v>75</v>
      </c>
      <c r="AU23" t="s">
        <v>76</v>
      </c>
      <c r="AV23">
        <v>4</v>
      </c>
      <c r="AW23">
        <v>0.38</v>
      </c>
    </row>
    <row r="24" spans="1:49" x14ac:dyDescent="0.25">
      <c r="A24" t="s">
        <v>70</v>
      </c>
      <c r="B24" t="s">
        <v>71</v>
      </c>
      <c r="C24" t="s">
        <v>72</v>
      </c>
      <c r="D24" t="s">
        <v>72</v>
      </c>
      <c r="E24">
        <v>2025</v>
      </c>
      <c r="F24">
        <v>10</v>
      </c>
      <c r="G24" t="s">
        <v>66</v>
      </c>
      <c r="H24">
        <v>21410</v>
      </c>
      <c r="I24">
        <v>195747</v>
      </c>
      <c r="J24">
        <v>18643</v>
      </c>
      <c r="K24">
        <v>0.2</v>
      </c>
      <c r="L24">
        <v>45.7</v>
      </c>
      <c r="M24">
        <v>33.1</v>
      </c>
      <c r="N24">
        <v>34</v>
      </c>
      <c r="O24">
        <v>34.799999999999997</v>
      </c>
      <c r="P24">
        <v>26.9</v>
      </c>
      <c r="Q24">
        <v>32.1</v>
      </c>
      <c r="R24">
        <v>14</v>
      </c>
      <c r="S24">
        <v>17.2</v>
      </c>
      <c r="T24">
        <v>8.6999999999999993</v>
      </c>
      <c r="U24">
        <v>12.1</v>
      </c>
      <c r="V24">
        <v>10.4</v>
      </c>
      <c r="W24">
        <v>13.9</v>
      </c>
      <c r="X24">
        <v>31.8</v>
      </c>
      <c r="Y24">
        <v>29.2</v>
      </c>
      <c r="Z24">
        <v>24.2</v>
      </c>
      <c r="AA24">
        <v>9.8000000000000007</v>
      </c>
      <c r="AB24">
        <v>5</v>
      </c>
      <c r="AC24">
        <v>17.5</v>
      </c>
      <c r="AD24">
        <v>33</v>
      </c>
      <c r="AE24">
        <v>29.1</v>
      </c>
      <c r="AF24">
        <v>20.399999999999999</v>
      </c>
      <c r="AG24">
        <v>40.1</v>
      </c>
      <c r="AH24">
        <v>59.9</v>
      </c>
      <c r="AI24">
        <v>70.7</v>
      </c>
      <c r="AJ24">
        <v>29.3</v>
      </c>
      <c r="AK24">
        <v>45.7</v>
      </c>
      <c r="AL24">
        <v>43.5</v>
      </c>
      <c r="AM24">
        <v>40.200000000000003</v>
      </c>
      <c r="AN24" t="s">
        <v>73</v>
      </c>
      <c r="AO24">
        <v>75.5</v>
      </c>
      <c r="AP24">
        <v>29.9</v>
      </c>
      <c r="AQ24">
        <v>28.4</v>
      </c>
      <c r="AR24">
        <v>70.900000000000006</v>
      </c>
      <c r="AS24" t="s">
        <v>74</v>
      </c>
      <c r="AT24" t="s">
        <v>75</v>
      </c>
      <c r="AU24" t="s">
        <v>76</v>
      </c>
      <c r="AV24">
        <v>4.3</v>
      </c>
      <c r="AW24">
        <v>0.34</v>
      </c>
    </row>
    <row r="25" spans="1:49" x14ac:dyDescent="0.25">
      <c r="A25" t="s">
        <v>70</v>
      </c>
      <c r="B25" t="s">
        <v>71</v>
      </c>
      <c r="C25" t="s">
        <v>72</v>
      </c>
      <c r="D25" t="s">
        <v>72</v>
      </c>
      <c r="E25">
        <v>2025</v>
      </c>
      <c r="F25">
        <v>11</v>
      </c>
      <c r="G25" t="s">
        <v>67</v>
      </c>
      <c r="H25">
        <v>24444</v>
      </c>
      <c r="I25">
        <v>220191</v>
      </c>
      <c r="J25">
        <v>21414</v>
      </c>
      <c r="K25">
        <v>0.31</v>
      </c>
      <c r="L25">
        <v>45.9</v>
      </c>
      <c r="M25">
        <v>30.8</v>
      </c>
      <c r="N25">
        <v>36.6</v>
      </c>
      <c r="O25">
        <v>32.700000000000003</v>
      </c>
      <c r="P25">
        <v>28.1</v>
      </c>
      <c r="Q25">
        <v>33</v>
      </c>
      <c r="R25">
        <v>13.5</v>
      </c>
      <c r="S25">
        <v>16.899999999999999</v>
      </c>
      <c r="T25">
        <v>9.1</v>
      </c>
      <c r="U25">
        <v>11.3</v>
      </c>
      <c r="V25">
        <v>10.9</v>
      </c>
      <c r="W25">
        <v>14.2</v>
      </c>
      <c r="X25">
        <v>31.1</v>
      </c>
      <c r="Y25">
        <v>28.7</v>
      </c>
      <c r="Z25">
        <v>21.6</v>
      </c>
      <c r="AA25">
        <v>13.6</v>
      </c>
      <c r="AB25">
        <v>5</v>
      </c>
      <c r="AC25">
        <v>16.100000000000001</v>
      </c>
      <c r="AD25">
        <v>32.1</v>
      </c>
      <c r="AE25">
        <v>29.7</v>
      </c>
      <c r="AF25">
        <v>22.2</v>
      </c>
      <c r="AG25">
        <v>42.7</v>
      </c>
      <c r="AH25">
        <v>57.3</v>
      </c>
      <c r="AI25">
        <v>64.2</v>
      </c>
      <c r="AJ25">
        <v>35.799999999999997</v>
      </c>
      <c r="AK25">
        <v>43.4</v>
      </c>
      <c r="AL25">
        <v>51.1</v>
      </c>
      <c r="AM25">
        <v>38.299999999999997</v>
      </c>
      <c r="AN25" t="s">
        <v>73</v>
      </c>
      <c r="AO25">
        <v>71.599999999999994</v>
      </c>
      <c r="AP25">
        <v>24</v>
      </c>
      <c r="AQ25">
        <v>22.1</v>
      </c>
      <c r="AR25">
        <v>65</v>
      </c>
      <c r="AS25" t="s">
        <v>74</v>
      </c>
      <c r="AT25" t="s">
        <v>75</v>
      </c>
      <c r="AU25" t="s">
        <v>76</v>
      </c>
      <c r="AV25">
        <v>4.3</v>
      </c>
      <c r="AW25">
        <v>0.36</v>
      </c>
    </row>
    <row r="26" spans="1:49" x14ac:dyDescent="0.25">
      <c r="A26" t="s">
        <v>70</v>
      </c>
      <c r="B26" t="s">
        <v>71</v>
      </c>
      <c r="C26" t="s">
        <v>72</v>
      </c>
      <c r="D26" t="s">
        <v>72</v>
      </c>
      <c r="E26">
        <v>2025</v>
      </c>
      <c r="F26">
        <v>12</v>
      </c>
      <c r="G26" t="s">
        <v>68</v>
      </c>
      <c r="H26">
        <v>22383</v>
      </c>
      <c r="I26">
        <v>242574</v>
      </c>
      <c r="J26">
        <v>19245</v>
      </c>
      <c r="K26">
        <v>0.2</v>
      </c>
      <c r="L26">
        <v>47.4</v>
      </c>
      <c r="M26">
        <v>30.9</v>
      </c>
      <c r="N26">
        <v>33.700000000000003</v>
      </c>
      <c r="O26">
        <v>36.5</v>
      </c>
      <c r="P26">
        <v>26.8</v>
      </c>
      <c r="Q26">
        <v>31.9</v>
      </c>
      <c r="R26">
        <v>12.1</v>
      </c>
      <c r="S26">
        <v>17.600000000000001</v>
      </c>
      <c r="T26">
        <v>8.5</v>
      </c>
      <c r="U26">
        <v>13.8</v>
      </c>
      <c r="V26">
        <v>10.5</v>
      </c>
      <c r="W26">
        <v>12.9</v>
      </c>
      <c r="X26">
        <v>32.799999999999997</v>
      </c>
      <c r="Y26">
        <v>30.2</v>
      </c>
      <c r="Z26">
        <v>19.2</v>
      </c>
      <c r="AA26">
        <v>12.9</v>
      </c>
      <c r="AB26">
        <v>5</v>
      </c>
      <c r="AC26">
        <v>16.7</v>
      </c>
      <c r="AD26">
        <v>33.1</v>
      </c>
      <c r="AE26">
        <v>28.2</v>
      </c>
      <c r="AF26">
        <v>21.9</v>
      </c>
      <c r="AG26">
        <v>42.4</v>
      </c>
      <c r="AH26">
        <v>57.6</v>
      </c>
      <c r="AI26">
        <v>67.599999999999994</v>
      </c>
      <c r="AJ26">
        <v>32.4</v>
      </c>
      <c r="AK26">
        <v>43</v>
      </c>
      <c r="AL26">
        <v>44.7</v>
      </c>
      <c r="AM26">
        <v>40.799999999999997</v>
      </c>
      <c r="AN26" t="s">
        <v>73</v>
      </c>
      <c r="AO26">
        <v>69.2</v>
      </c>
      <c r="AP26">
        <v>24.5</v>
      </c>
      <c r="AQ26">
        <v>30.3</v>
      </c>
      <c r="AR26">
        <v>71.2</v>
      </c>
      <c r="AS26" t="s">
        <v>74</v>
      </c>
      <c r="AT26" t="s">
        <v>75</v>
      </c>
      <c r="AU26" t="s">
        <v>76</v>
      </c>
      <c r="AV26">
        <v>4.0999999999999996</v>
      </c>
      <c r="AW26">
        <v>0.3</v>
      </c>
    </row>
    <row r="27" spans="1:49" x14ac:dyDescent="0.25">
      <c r="A27" t="s">
        <v>70</v>
      </c>
      <c r="B27" t="s">
        <v>71</v>
      </c>
      <c r="C27" t="s">
        <v>72</v>
      </c>
      <c r="D27" t="s">
        <v>72</v>
      </c>
      <c r="E27">
        <v>2026</v>
      </c>
      <c r="F27">
        <v>1</v>
      </c>
      <c r="G27" t="s">
        <v>69</v>
      </c>
      <c r="H27">
        <v>23620</v>
      </c>
      <c r="I27">
        <v>266194</v>
      </c>
      <c r="J27">
        <v>20383</v>
      </c>
      <c r="K27">
        <v>0.27</v>
      </c>
      <c r="L27">
        <v>44.6</v>
      </c>
      <c r="M27">
        <v>34.200000000000003</v>
      </c>
      <c r="N27">
        <v>36.200000000000003</v>
      </c>
      <c r="O27">
        <v>32.9</v>
      </c>
      <c r="P27">
        <v>25.6</v>
      </c>
      <c r="Q27">
        <v>32.700000000000003</v>
      </c>
      <c r="R27">
        <v>12.4</v>
      </c>
      <c r="S27">
        <v>17.2</v>
      </c>
      <c r="T27">
        <v>8.6</v>
      </c>
      <c r="U27">
        <v>11.4</v>
      </c>
      <c r="V27">
        <v>10.6</v>
      </c>
      <c r="W27">
        <v>13.9</v>
      </c>
      <c r="X27">
        <v>34.6</v>
      </c>
      <c r="Y27">
        <v>28.4</v>
      </c>
      <c r="Z27">
        <v>22</v>
      </c>
      <c r="AA27">
        <v>10</v>
      </c>
      <c r="AB27">
        <v>4.9000000000000004</v>
      </c>
      <c r="AC27">
        <v>15.8</v>
      </c>
      <c r="AD27">
        <v>35.4</v>
      </c>
      <c r="AE27">
        <v>26.1</v>
      </c>
      <c r="AF27">
        <v>22.8</v>
      </c>
      <c r="AG27">
        <v>40.5</v>
      </c>
      <c r="AH27">
        <v>59.5</v>
      </c>
      <c r="AI27">
        <v>64.099999999999994</v>
      </c>
      <c r="AJ27">
        <v>35.9</v>
      </c>
      <c r="AK27">
        <v>47.1</v>
      </c>
      <c r="AL27">
        <v>50.2</v>
      </c>
      <c r="AM27">
        <v>38.1</v>
      </c>
      <c r="AN27" t="s">
        <v>73</v>
      </c>
      <c r="AO27">
        <v>68.2</v>
      </c>
      <c r="AP27">
        <v>24.5</v>
      </c>
      <c r="AQ27">
        <v>27</v>
      </c>
      <c r="AR27">
        <v>63.9</v>
      </c>
      <c r="AS27" t="s">
        <v>74</v>
      </c>
      <c r="AT27" t="s">
        <v>75</v>
      </c>
      <c r="AU27" t="s">
        <v>76</v>
      </c>
      <c r="AV27">
        <v>3.9</v>
      </c>
      <c r="AW27">
        <v>0.34</v>
      </c>
    </row>
    <row r="28" spans="1:49" x14ac:dyDescent="0.25">
      <c r="A28" t="s">
        <v>77</v>
      </c>
      <c r="B28" t="s">
        <v>78</v>
      </c>
      <c r="C28" t="s">
        <v>51</v>
      </c>
      <c r="D28" t="s">
        <v>52</v>
      </c>
      <c r="E28">
        <v>2025</v>
      </c>
      <c r="F28">
        <v>1</v>
      </c>
      <c r="G28" t="s">
        <v>53</v>
      </c>
      <c r="H28">
        <v>17356</v>
      </c>
      <c r="I28">
        <v>17356</v>
      </c>
      <c r="J28">
        <v>14511</v>
      </c>
      <c r="K28">
        <v>0.27</v>
      </c>
      <c r="L28">
        <v>45.7</v>
      </c>
      <c r="M28">
        <v>33.6</v>
      </c>
      <c r="N28">
        <v>40.5</v>
      </c>
      <c r="O28">
        <v>29.4</v>
      </c>
      <c r="P28">
        <v>25.9</v>
      </c>
      <c r="Q28">
        <v>15.8</v>
      </c>
      <c r="R28">
        <v>20.9</v>
      </c>
      <c r="S28">
        <v>20.7</v>
      </c>
      <c r="T28">
        <v>10.3</v>
      </c>
      <c r="U28">
        <v>13.1</v>
      </c>
      <c r="V28">
        <v>10.199999999999999</v>
      </c>
      <c r="W28">
        <v>12.2</v>
      </c>
      <c r="X28">
        <v>33.799999999999997</v>
      </c>
      <c r="Y28">
        <v>30.9</v>
      </c>
      <c r="Z28">
        <v>20.6</v>
      </c>
      <c r="AA28">
        <v>9.6999999999999993</v>
      </c>
      <c r="AB28">
        <v>5</v>
      </c>
      <c r="AC28">
        <v>19</v>
      </c>
      <c r="AD28">
        <v>35.9</v>
      </c>
      <c r="AE28">
        <v>28.6</v>
      </c>
      <c r="AF28">
        <v>16.5</v>
      </c>
      <c r="AG28">
        <v>41</v>
      </c>
      <c r="AH28">
        <v>59</v>
      </c>
      <c r="AI28">
        <v>64.7</v>
      </c>
      <c r="AJ28">
        <v>35.299999999999997</v>
      </c>
      <c r="AK28">
        <v>42.2</v>
      </c>
      <c r="AL28">
        <v>47.5</v>
      </c>
      <c r="AM28">
        <v>40.9</v>
      </c>
      <c r="AN28" t="s">
        <v>79</v>
      </c>
      <c r="AO28">
        <v>68.099999999999994</v>
      </c>
      <c r="AP28">
        <v>34.799999999999997</v>
      </c>
      <c r="AQ28">
        <v>21.4</v>
      </c>
      <c r="AR28">
        <v>66.099999999999994</v>
      </c>
      <c r="AS28" t="s">
        <v>80</v>
      </c>
      <c r="AT28" t="s">
        <v>56</v>
      </c>
      <c r="AU28" t="s">
        <v>81</v>
      </c>
      <c r="AV28">
        <v>4.5999999999999996</v>
      </c>
      <c r="AW28">
        <v>0.32</v>
      </c>
    </row>
    <row r="29" spans="1:49" x14ac:dyDescent="0.25">
      <c r="A29" t="s">
        <v>77</v>
      </c>
      <c r="B29" t="s">
        <v>78</v>
      </c>
      <c r="C29" t="s">
        <v>51</v>
      </c>
      <c r="D29" t="s">
        <v>52</v>
      </c>
      <c r="E29">
        <v>2025</v>
      </c>
      <c r="F29">
        <v>2</v>
      </c>
      <c r="G29" t="s">
        <v>58</v>
      </c>
      <c r="H29">
        <v>16983</v>
      </c>
      <c r="I29">
        <v>34339</v>
      </c>
      <c r="J29">
        <v>14065</v>
      </c>
      <c r="K29">
        <v>0.31</v>
      </c>
      <c r="L29">
        <v>47.1</v>
      </c>
      <c r="M29">
        <v>34.9</v>
      </c>
      <c r="N29">
        <v>42.1</v>
      </c>
      <c r="O29">
        <v>26.6</v>
      </c>
      <c r="P29">
        <v>26.9</v>
      </c>
      <c r="Q29">
        <v>16.899999999999999</v>
      </c>
      <c r="R29">
        <v>19.399999999999999</v>
      </c>
      <c r="S29">
        <v>20.9</v>
      </c>
      <c r="T29">
        <v>7.7</v>
      </c>
      <c r="U29">
        <v>11.2</v>
      </c>
      <c r="V29">
        <v>11.1</v>
      </c>
      <c r="W29">
        <v>12.3</v>
      </c>
      <c r="X29">
        <v>32.4</v>
      </c>
      <c r="Y29">
        <v>30.2</v>
      </c>
      <c r="Z29">
        <v>21.6</v>
      </c>
      <c r="AA29">
        <v>10.8</v>
      </c>
      <c r="AB29">
        <v>5</v>
      </c>
      <c r="AC29">
        <v>18.3</v>
      </c>
      <c r="AD29">
        <v>31.8</v>
      </c>
      <c r="AE29">
        <v>28.8</v>
      </c>
      <c r="AF29">
        <v>21.1</v>
      </c>
      <c r="AG29">
        <v>42.9</v>
      </c>
      <c r="AH29">
        <v>57.1</v>
      </c>
      <c r="AI29">
        <v>68.599999999999994</v>
      </c>
      <c r="AJ29">
        <v>31.4</v>
      </c>
      <c r="AK29">
        <v>42.1</v>
      </c>
      <c r="AL29">
        <v>48</v>
      </c>
      <c r="AM29">
        <v>35.5</v>
      </c>
      <c r="AN29" t="s">
        <v>79</v>
      </c>
      <c r="AO29">
        <v>75.5</v>
      </c>
      <c r="AP29">
        <v>32.299999999999997</v>
      </c>
      <c r="AQ29">
        <v>22.6</v>
      </c>
      <c r="AR29">
        <v>58.4</v>
      </c>
      <c r="AS29" t="s">
        <v>80</v>
      </c>
      <c r="AT29" t="s">
        <v>56</v>
      </c>
      <c r="AU29" t="s">
        <v>81</v>
      </c>
      <c r="AV29">
        <v>4.2</v>
      </c>
      <c r="AW29">
        <v>0.36</v>
      </c>
    </row>
    <row r="30" spans="1:49" x14ac:dyDescent="0.25">
      <c r="A30" t="s">
        <v>77</v>
      </c>
      <c r="B30" t="s">
        <v>78</v>
      </c>
      <c r="C30" t="s">
        <v>51</v>
      </c>
      <c r="D30" t="s">
        <v>52</v>
      </c>
      <c r="E30">
        <v>2025</v>
      </c>
      <c r="F30">
        <v>3</v>
      </c>
      <c r="G30" t="s">
        <v>59</v>
      </c>
      <c r="H30">
        <v>19217</v>
      </c>
      <c r="I30">
        <v>53556</v>
      </c>
      <c r="J30">
        <v>16646</v>
      </c>
      <c r="K30">
        <v>0.19</v>
      </c>
      <c r="L30">
        <v>44.7</v>
      </c>
      <c r="M30">
        <v>36.200000000000003</v>
      </c>
      <c r="N30">
        <v>42.4</v>
      </c>
      <c r="O30">
        <v>27.9</v>
      </c>
      <c r="P30">
        <v>24.6</v>
      </c>
      <c r="Q30">
        <v>18.5</v>
      </c>
      <c r="R30">
        <v>20.7</v>
      </c>
      <c r="S30">
        <v>21.7</v>
      </c>
      <c r="T30">
        <v>8.4</v>
      </c>
      <c r="U30">
        <v>12.5</v>
      </c>
      <c r="V30">
        <v>10</v>
      </c>
      <c r="W30">
        <v>12</v>
      </c>
      <c r="X30">
        <v>30.5</v>
      </c>
      <c r="Y30">
        <v>32.799999999999997</v>
      </c>
      <c r="Z30">
        <v>21.8</v>
      </c>
      <c r="AA30">
        <v>9.9</v>
      </c>
      <c r="AB30">
        <v>5</v>
      </c>
      <c r="AC30">
        <v>17.3</v>
      </c>
      <c r="AD30">
        <v>35.200000000000003</v>
      </c>
      <c r="AE30">
        <v>29.7</v>
      </c>
      <c r="AF30">
        <v>17.8</v>
      </c>
      <c r="AG30">
        <v>44.8</v>
      </c>
      <c r="AH30">
        <v>55.2</v>
      </c>
      <c r="AI30">
        <v>68.599999999999994</v>
      </c>
      <c r="AJ30">
        <v>31.4</v>
      </c>
      <c r="AK30">
        <v>41.8</v>
      </c>
      <c r="AL30">
        <v>51.9</v>
      </c>
      <c r="AM30">
        <v>43.5</v>
      </c>
      <c r="AN30" t="s">
        <v>79</v>
      </c>
      <c r="AO30">
        <v>73.5</v>
      </c>
      <c r="AP30">
        <v>33.9</v>
      </c>
      <c r="AQ30">
        <v>23</v>
      </c>
      <c r="AR30">
        <v>64.900000000000006</v>
      </c>
      <c r="AS30" t="s">
        <v>80</v>
      </c>
      <c r="AT30" t="s">
        <v>56</v>
      </c>
      <c r="AU30" t="s">
        <v>81</v>
      </c>
      <c r="AV30">
        <v>3.6</v>
      </c>
      <c r="AW30">
        <v>0.37</v>
      </c>
    </row>
    <row r="31" spans="1:49" x14ac:dyDescent="0.25">
      <c r="A31" t="s">
        <v>77</v>
      </c>
      <c r="B31" t="s">
        <v>78</v>
      </c>
      <c r="C31" t="s">
        <v>51</v>
      </c>
      <c r="D31" t="s">
        <v>52</v>
      </c>
      <c r="E31">
        <v>2025</v>
      </c>
      <c r="F31">
        <v>4</v>
      </c>
      <c r="G31" t="s">
        <v>60</v>
      </c>
      <c r="H31">
        <v>21084</v>
      </c>
      <c r="I31">
        <v>74640</v>
      </c>
      <c r="J31">
        <v>17517</v>
      </c>
      <c r="K31">
        <v>0.26</v>
      </c>
      <c r="L31">
        <v>47.2</v>
      </c>
      <c r="M31">
        <v>34.9</v>
      </c>
      <c r="N31">
        <v>40.9</v>
      </c>
      <c r="O31">
        <v>30.2</v>
      </c>
      <c r="P31">
        <v>27.9</v>
      </c>
      <c r="Q31">
        <v>19</v>
      </c>
      <c r="R31">
        <v>19.7</v>
      </c>
      <c r="S31">
        <v>17.100000000000001</v>
      </c>
      <c r="T31">
        <v>10.1</v>
      </c>
      <c r="U31">
        <v>11.7</v>
      </c>
      <c r="V31">
        <v>11.4</v>
      </c>
      <c r="W31">
        <v>11.9</v>
      </c>
      <c r="X31">
        <v>32.799999999999997</v>
      </c>
      <c r="Y31">
        <v>29</v>
      </c>
      <c r="Z31">
        <v>20.7</v>
      </c>
      <c r="AA31">
        <v>12.5</v>
      </c>
      <c r="AB31">
        <v>5</v>
      </c>
      <c r="AC31">
        <v>16</v>
      </c>
      <c r="AD31">
        <v>34.299999999999997</v>
      </c>
      <c r="AE31">
        <v>26.3</v>
      </c>
      <c r="AF31">
        <v>23.3</v>
      </c>
      <c r="AG31">
        <v>41.9</v>
      </c>
      <c r="AH31">
        <v>58.1</v>
      </c>
      <c r="AI31">
        <v>67.400000000000006</v>
      </c>
      <c r="AJ31">
        <v>32.6</v>
      </c>
      <c r="AK31">
        <v>44.9</v>
      </c>
      <c r="AL31">
        <v>44.3</v>
      </c>
      <c r="AM31">
        <v>35.200000000000003</v>
      </c>
      <c r="AN31" t="s">
        <v>79</v>
      </c>
      <c r="AO31">
        <v>74.3</v>
      </c>
      <c r="AP31">
        <v>26.5</v>
      </c>
      <c r="AQ31">
        <v>27.5</v>
      </c>
      <c r="AR31">
        <v>70.400000000000006</v>
      </c>
      <c r="AS31" t="s">
        <v>80</v>
      </c>
      <c r="AT31" t="s">
        <v>56</v>
      </c>
      <c r="AU31" t="s">
        <v>81</v>
      </c>
      <c r="AV31">
        <v>4.5999999999999996</v>
      </c>
      <c r="AW31">
        <v>0.3</v>
      </c>
    </row>
    <row r="32" spans="1:49" x14ac:dyDescent="0.25">
      <c r="A32" t="s">
        <v>77</v>
      </c>
      <c r="B32" t="s">
        <v>78</v>
      </c>
      <c r="C32" t="s">
        <v>51</v>
      </c>
      <c r="D32" t="s">
        <v>52</v>
      </c>
      <c r="E32">
        <v>2025</v>
      </c>
      <c r="F32">
        <v>5</v>
      </c>
      <c r="G32" t="s">
        <v>61</v>
      </c>
      <c r="H32">
        <v>22040</v>
      </c>
      <c r="I32">
        <v>96680</v>
      </c>
      <c r="J32">
        <v>18772</v>
      </c>
      <c r="K32">
        <v>0.31</v>
      </c>
      <c r="L32">
        <v>46.9</v>
      </c>
      <c r="M32">
        <v>33.5</v>
      </c>
      <c r="N32">
        <v>43</v>
      </c>
      <c r="O32">
        <v>28.4</v>
      </c>
      <c r="P32">
        <v>26.3</v>
      </c>
      <c r="Q32">
        <v>17.7</v>
      </c>
      <c r="R32">
        <v>20.9</v>
      </c>
      <c r="S32">
        <v>18.5</v>
      </c>
      <c r="T32">
        <v>9.9</v>
      </c>
      <c r="U32">
        <v>12</v>
      </c>
      <c r="V32">
        <v>10.199999999999999</v>
      </c>
      <c r="W32">
        <v>13.2</v>
      </c>
      <c r="X32">
        <v>32</v>
      </c>
      <c r="Y32">
        <v>30.5</v>
      </c>
      <c r="Z32">
        <v>22.1</v>
      </c>
      <c r="AA32">
        <v>10.5</v>
      </c>
      <c r="AB32">
        <v>5</v>
      </c>
      <c r="AC32">
        <v>15.4</v>
      </c>
      <c r="AD32">
        <v>30.3</v>
      </c>
      <c r="AE32">
        <v>26.1</v>
      </c>
      <c r="AF32">
        <v>28.3</v>
      </c>
      <c r="AG32">
        <v>45.9</v>
      </c>
      <c r="AH32">
        <v>54.1</v>
      </c>
      <c r="AI32">
        <v>66.3</v>
      </c>
      <c r="AJ32">
        <v>33.700000000000003</v>
      </c>
      <c r="AK32">
        <v>46.3</v>
      </c>
      <c r="AL32">
        <v>42.9</v>
      </c>
      <c r="AM32">
        <v>38.799999999999997</v>
      </c>
      <c r="AN32" t="s">
        <v>79</v>
      </c>
      <c r="AO32">
        <v>71.099999999999994</v>
      </c>
      <c r="AP32">
        <v>31.5</v>
      </c>
      <c r="AQ32">
        <v>22.6</v>
      </c>
      <c r="AR32">
        <v>71.3</v>
      </c>
      <c r="AS32" t="s">
        <v>80</v>
      </c>
      <c r="AT32" t="s">
        <v>56</v>
      </c>
      <c r="AU32" t="s">
        <v>81</v>
      </c>
      <c r="AV32">
        <v>4.7</v>
      </c>
      <c r="AW32">
        <v>0.39</v>
      </c>
    </row>
    <row r="33" spans="1:49" x14ac:dyDescent="0.25">
      <c r="A33" t="s">
        <v>77</v>
      </c>
      <c r="B33" t="s">
        <v>78</v>
      </c>
      <c r="C33" t="s">
        <v>51</v>
      </c>
      <c r="D33" t="s">
        <v>52</v>
      </c>
      <c r="E33">
        <v>2025</v>
      </c>
      <c r="F33">
        <v>6</v>
      </c>
      <c r="G33" t="s">
        <v>62</v>
      </c>
      <c r="H33">
        <v>21732</v>
      </c>
      <c r="I33">
        <v>118412</v>
      </c>
      <c r="J33">
        <v>18620</v>
      </c>
      <c r="K33">
        <v>0.2</v>
      </c>
      <c r="L33">
        <v>47.5</v>
      </c>
      <c r="M33">
        <v>36.4</v>
      </c>
      <c r="N33">
        <v>42.6</v>
      </c>
      <c r="O33">
        <v>29.5</v>
      </c>
      <c r="P33">
        <v>26.9</v>
      </c>
      <c r="Q33">
        <v>16.100000000000001</v>
      </c>
      <c r="R33">
        <v>18.8</v>
      </c>
      <c r="S33">
        <v>14.7</v>
      </c>
      <c r="T33">
        <v>8.1999999999999993</v>
      </c>
      <c r="U33">
        <v>13</v>
      </c>
      <c r="V33">
        <v>10</v>
      </c>
      <c r="W33">
        <v>11.7</v>
      </c>
      <c r="X33">
        <v>34.1</v>
      </c>
      <c r="Y33">
        <v>30.8</v>
      </c>
      <c r="Z33">
        <v>23.2</v>
      </c>
      <c r="AA33">
        <v>9.9</v>
      </c>
      <c r="AB33">
        <v>2</v>
      </c>
      <c r="AC33">
        <v>16.399999999999999</v>
      </c>
      <c r="AD33">
        <v>34.5</v>
      </c>
      <c r="AE33">
        <v>29.5</v>
      </c>
      <c r="AF33">
        <v>19.600000000000001</v>
      </c>
      <c r="AG33">
        <v>40.9</v>
      </c>
      <c r="AH33">
        <v>59.1</v>
      </c>
      <c r="AI33">
        <v>70.2</v>
      </c>
      <c r="AJ33">
        <v>29.8</v>
      </c>
      <c r="AK33">
        <v>44.6</v>
      </c>
      <c r="AL33">
        <v>42.9</v>
      </c>
      <c r="AM33">
        <v>42.9</v>
      </c>
      <c r="AN33" t="s">
        <v>79</v>
      </c>
      <c r="AO33">
        <v>69.8</v>
      </c>
      <c r="AP33">
        <v>25.1</v>
      </c>
      <c r="AQ33">
        <v>26.4</v>
      </c>
      <c r="AR33">
        <v>66.3</v>
      </c>
      <c r="AS33" t="s">
        <v>80</v>
      </c>
      <c r="AT33" t="s">
        <v>56</v>
      </c>
      <c r="AU33" t="s">
        <v>81</v>
      </c>
      <c r="AV33">
        <v>3.9</v>
      </c>
      <c r="AW33">
        <v>0.31</v>
      </c>
    </row>
    <row r="34" spans="1:49" x14ac:dyDescent="0.25">
      <c r="A34" t="s">
        <v>77</v>
      </c>
      <c r="B34" t="s">
        <v>78</v>
      </c>
      <c r="C34" t="s">
        <v>51</v>
      </c>
      <c r="D34" t="s">
        <v>52</v>
      </c>
      <c r="E34">
        <v>2025</v>
      </c>
      <c r="F34">
        <v>7</v>
      </c>
      <c r="G34" t="s">
        <v>63</v>
      </c>
      <c r="H34">
        <v>24324</v>
      </c>
      <c r="I34">
        <v>142736</v>
      </c>
      <c r="J34">
        <v>21340</v>
      </c>
      <c r="K34">
        <v>0.3</v>
      </c>
      <c r="L34">
        <v>46.9</v>
      </c>
      <c r="M34">
        <v>35.9</v>
      </c>
      <c r="N34">
        <v>40.5</v>
      </c>
      <c r="O34">
        <v>29</v>
      </c>
      <c r="P34">
        <v>26.7</v>
      </c>
      <c r="Q34">
        <v>16.2</v>
      </c>
      <c r="R34">
        <v>20.5</v>
      </c>
      <c r="S34">
        <v>16.2</v>
      </c>
      <c r="T34">
        <v>7.8</v>
      </c>
      <c r="U34">
        <v>11.4</v>
      </c>
      <c r="V34">
        <v>10.9</v>
      </c>
      <c r="W34">
        <v>11.6</v>
      </c>
      <c r="X34">
        <v>32</v>
      </c>
      <c r="Y34">
        <v>28.9</v>
      </c>
      <c r="Z34">
        <v>21.6</v>
      </c>
      <c r="AA34">
        <v>13.1</v>
      </c>
      <c r="AB34">
        <v>4.5</v>
      </c>
      <c r="AC34">
        <v>16.100000000000001</v>
      </c>
      <c r="AD34">
        <v>34.1</v>
      </c>
      <c r="AE34">
        <v>28.8</v>
      </c>
      <c r="AF34">
        <v>21</v>
      </c>
      <c r="AG34">
        <v>41.6</v>
      </c>
      <c r="AH34">
        <v>58.4</v>
      </c>
      <c r="AI34">
        <v>70.8</v>
      </c>
      <c r="AJ34">
        <v>29.2</v>
      </c>
      <c r="AK34">
        <v>45.7</v>
      </c>
      <c r="AL34">
        <v>50.4</v>
      </c>
      <c r="AM34">
        <v>41.3</v>
      </c>
      <c r="AN34" t="s">
        <v>79</v>
      </c>
      <c r="AO34">
        <v>74.400000000000006</v>
      </c>
      <c r="AP34">
        <v>31.2</v>
      </c>
      <c r="AQ34">
        <v>30.2</v>
      </c>
      <c r="AR34">
        <v>70.099999999999994</v>
      </c>
      <c r="AS34" t="s">
        <v>80</v>
      </c>
      <c r="AT34" t="s">
        <v>56</v>
      </c>
      <c r="AU34" t="s">
        <v>81</v>
      </c>
      <c r="AV34">
        <v>4.4000000000000004</v>
      </c>
      <c r="AW34">
        <v>0.36</v>
      </c>
    </row>
    <row r="35" spans="1:49" x14ac:dyDescent="0.25">
      <c r="A35" t="s">
        <v>77</v>
      </c>
      <c r="B35" t="s">
        <v>78</v>
      </c>
      <c r="C35" t="s">
        <v>51</v>
      </c>
      <c r="D35" t="s">
        <v>52</v>
      </c>
      <c r="E35">
        <v>2025</v>
      </c>
      <c r="F35">
        <v>8</v>
      </c>
      <c r="G35" t="s">
        <v>64</v>
      </c>
      <c r="H35">
        <v>24921</v>
      </c>
      <c r="I35">
        <v>167657</v>
      </c>
      <c r="J35">
        <v>20672</v>
      </c>
      <c r="K35">
        <v>0.3</v>
      </c>
      <c r="L35">
        <v>47.1</v>
      </c>
      <c r="M35">
        <v>36.4</v>
      </c>
      <c r="N35">
        <v>40.9</v>
      </c>
      <c r="O35">
        <v>29</v>
      </c>
      <c r="P35">
        <v>28.6</v>
      </c>
      <c r="Q35">
        <v>15.8</v>
      </c>
      <c r="R35">
        <v>20.8</v>
      </c>
      <c r="S35">
        <v>17</v>
      </c>
      <c r="T35">
        <v>9.1</v>
      </c>
      <c r="U35">
        <v>10.7</v>
      </c>
      <c r="V35">
        <v>9.8000000000000007</v>
      </c>
      <c r="W35">
        <v>12.8</v>
      </c>
      <c r="X35">
        <v>33.4</v>
      </c>
      <c r="Y35">
        <v>27.8</v>
      </c>
      <c r="Z35">
        <v>22.1</v>
      </c>
      <c r="AA35">
        <v>11.7</v>
      </c>
      <c r="AB35">
        <v>5</v>
      </c>
      <c r="AC35">
        <v>18.7</v>
      </c>
      <c r="AD35">
        <v>30.6</v>
      </c>
      <c r="AE35">
        <v>29.8</v>
      </c>
      <c r="AF35">
        <v>20.9</v>
      </c>
      <c r="AG35">
        <v>43.2</v>
      </c>
      <c r="AH35">
        <v>56.8</v>
      </c>
      <c r="AI35">
        <v>71.599999999999994</v>
      </c>
      <c r="AJ35">
        <v>28.4</v>
      </c>
      <c r="AK35">
        <v>47.5</v>
      </c>
      <c r="AL35">
        <v>48.9</v>
      </c>
      <c r="AM35">
        <v>35.6</v>
      </c>
      <c r="AN35" t="s">
        <v>79</v>
      </c>
      <c r="AO35">
        <v>70.7</v>
      </c>
      <c r="AP35">
        <v>30.9</v>
      </c>
      <c r="AQ35">
        <v>31.2</v>
      </c>
      <c r="AR35">
        <v>59.4</v>
      </c>
      <c r="AS35" t="s">
        <v>80</v>
      </c>
      <c r="AT35" t="s">
        <v>56</v>
      </c>
      <c r="AU35" t="s">
        <v>81</v>
      </c>
      <c r="AV35">
        <v>4</v>
      </c>
      <c r="AW35">
        <v>0.37</v>
      </c>
    </row>
    <row r="36" spans="1:49" x14ac:dyDescent="0.25">
      <c r="A36" t="s">
        <v>77</v>
      </c>
      <c r="B36" t="s">
        <v>78</v>
      </c>
      <c r="C36" t="s">
        <v>51</v>
      </c>
      <c r="D36" t="s">
        <v>52</v>
      </c>
      <c r="E36">
        <v>2025</v>
      </c>
      <c r="F36">
        <v>9</v>
      </c>
      <c r="G36" t="s">
        <v>65</v>
      </c>
      <c r="H36">
        <v>23274</v>
      </c>
      <c r="I36">
        <v>190931</v>
      </c>
      <c r="J36">
        <v>19897</v>
      </c>
      <c r="K36">
        <v>0.23</v>
      </c>
      <c r="L36">
        <v>46.4</v>
      </c>
      <c r="M36">
        <v>35.200000000000003</v>
      </c>
      <c r="N36">
        <v>44.4</v>
      </c>
      <c r="O36">
        <v>31.9</v>
      </c>
      <c r="P36">
        <v>29</v>
      </c>
      <c r="Q36">
        <v>15.7</v>
      </c>
      <c r="R36">
        <v>20.6</v>
      </c>
      <c r="S36">
        <v>13.8</v>
      </c>
      <c r="T36">
        <v>7.7</v>
      </c>
      <c r="U36">
        <v>11.7</v>
      </c>
      <c r="V36">
        <v>10.4</v>
      </c>
      <c r="W36">
        <v>13.4</v>
      </c>
      <c r="X36">
        <v>31.8</v>
      </c>
      <c r="Y36">
        <v>27.8</v>
      </c>
      <c r="Z36">
        <v>24.2</v>
      </c>
      <c r="AA36">
        <v>11.1</v>
      </c>
      <c r="AB36">
        <v>5</v>
      </c>
      <c r="AC36">
        <v>16.7</v>
      </c>
      <c r="AD36">
        <v>31</v>
      </c>
      <c r="AE36">
        <v>30</v>
      </c>
      <c r="AF36">
        <v>22.3</v>
      </c>
      <c r="AG36">
        <v>44.2</v>
      </c>
      <c r="AH36">
        <v>55.8</v>
      </c>
      <c r="AI36">
        <v>64.2</v>
      </c>
      <c r="AJ36">
        <v>35.799999999999997</v>
      </c>
      <c r="AK36">
        <v>47.6</v>
      </c>
      <c r="AL36">
        <v>43.5</v>
      </c>
      <c r="AM36">
        <v>38.9</v>
      </c>
      <c r="AN36" t="s">
        <v>79</v>
      </c>
      <c r="AO36">
        <v>68.7</v>
      </c>
      <c r="AP36">
        <v>31.5</v>
      </c>
      <c r="AQ36">
        <v>27.9</v>
      </c>
      <c r="AR36">
        <v>61.8</v>
      </c>
      <c r="AS36" t="s">
        <v>80</v>
      </c>
      <c r="AT36" t="s">
        <v>56</v>
      </c>
      <c r="AU36" t="s">
        <v>81</v>
      </c>
      <c r="AV36">
        <v>4.7</v>
      </c>
      <c r="AW36">
        <v>0.34</v>
      </c>
    </row>
    <row r="37" spans="1:49" x14ac:dyDescent="0.25">
      <c r="A37" t="s">
        <v>77</v>
      </c>
      <c r="B37" t="s">
        <v>78</v>
      </c>
      <c r="C37" t="s">
        <v>51</v>
      </c>
      <c r="D37" t="s">
        <v>52</v>
      </c>
      <c r="E37">
        <v>2025</v>
      </c>
      <c r="F37">
        <v>10</v>
      </c>
      <c r="G37" t="s">
        <v>66</v>
      </c>
      <c r="H37">
        <v>25559</v>
      </c>
      <c r="I37">
        <v>216490</v>
      </c>
      <c r="J37">
        <v>21568</v>
      </c>
      <c r="K37">
        <v>0.22</v>
      </c>
      <c r="L37">
        <v>47.5</v>
      </c>
      <c r="M37">
        <v>35.6</v>
      </c>
      <c r="N37">
        <v>41.6</v>
      </c>
      <c r="O37">
        <v>29.2</v>
      </c>
      <c r="P37">
        <v>26.5</v>
      </c>
      <c r="Q37">
        <v>17.8</v>
      </c>
      <c r="R37">
        <v>19.399999999999999</v>
      </c>
      <c r="S37">
        <v>22.1</v>
      </c>
      <c r="T37">
        <v>9</v>
      </c>
      <c r="U37">
        <v>13.6</v>
      </c>
      <c r="V37">
        <v>9.5</v>
      </c>
      <c r="W37">
        <v>13.6</v>
      </c>
      <c r="X37">
        <v>33.4</v>
      </c>
      <c r="Y37">
        <v>30.5</v>
      </c>
      <c r="Z37">
        <v>22</v>
      </c>
      <c r="AA37">
        <v>12.1</v>
      </c>
      <c r="AB37">
        <v>2</v>
      </c>
      <c r="AC37">
        <v>14.8</v>
      </c>
      <c r="AD37">
        <v>30.2</v>
      </c>
      <c r="AE37">
        <v>30.6</v>
      </c>
      <c r="AF37">
        <v>24.4</v>
      </c>
      <c r="AG37">
        <v>43.7</v>
      </c>
      <c r="AH37">
        <v>56.3</v>
      </c>
      <c r="AI37">
        <v>70</v>
      </c>
      <c r="AJ37">
        <v>30</v>
      </c>
      <c r="AK37">
        <v>43.4</v>
      </c>
      <c r="AL37">
        <v>44</v>
      </c>
      <c r="AM37">
        <v>39.4</v>
      </c>
      <c r="AN37" t="s">
        <v>79</v>
      </c>
      <c r="AO37">
        <v>71.900000000000006</v>
      </c>
      <c r="AP37">
        <v>23.6</v>
      </c>
      <c r="AQ37">
        <v>21.5</v>
      </c>
      <c r="AR37">
        <v>67.599999999999994</v>
      </c>
      <c r="AS37" t="s">
        <v>80</v>
      </c>
      <c r="AT37" t="s">
        <v>56</v>
      </c>
      <c r="AU37" t="s">
        <v>81</v>
      </c>
      <c r="AV37">
        <v>3.7</v>
      </c>
      <c r="AW37">
        <v>0.36</v>
      </c>
    </row>
    <row r="38" spans="1:49" x14ac:dyDescent="0.25">
      <c r="A38" t="s">
        <v>77</v>
      </c>
      <c r="B38" t="s">
        <v>78</v>
      </c>
      <c r="C38" t="s">
        <v>51</v>
      </c>
      <c r="D38" t="s">
        <v>52</v>
      </c>
      <c r="E38">
        <v>2025</v>
      </c>
      <c r="F38">
        <v>11</v>
      </c>
      <c r="G38" t="s">
        <v>67</v>
      </c>
      <c r="H38">
        <v>24841</v>
      </c>
      <c r="I38">
        <v>241331</v>
      </c>
      <c r="J38">
        <v>21558</v>
      </c>
      <c r="K38">
        <v>0.22</v>
      </c>
      <c r="L38">
        <v>45.9</v>
      </c>
      <c r="M38">
        <v>33.5</v>
      </c>
      <c r="N38">
        <v>42.4</v>
      </c>
      <c r="O38">
        <v>30.5</v>
      </c>
      <c r="P38">
        <v>29.2</v>
      </c>
      <c r="Q38">
        <v>16.399999999999999</v>
      </c>
      <c r="R38">
        <v>20.399999999999999</v>
      </c>
      <c r="S38">
        <v>21.7</v>
      </c>
      <c r="T38">
        <v>9.9</v>
      </c>
      <c r="U38">
        <v>10.8</v>
      </c>
      <c r="V38">
        <v>10.3</v>
      </c>
      <c r="W38">
        <v>12.3</v>
      </c>
      <c r="X38">
        <v>35.9</v>
      </c>
      <c r="Y38">
        <v>26.9</v>
      </c>
      <c r="Z38">
        <v>21</v>
      </c>
      <c r="AA38">
        <v>12.1</v>
      </c>
      <c r="AB38">
        <v>4.2</v>
      </c>
      <c r="AC38">
        <v>18.2</v>
      </c>
      <c r="AD38">
        <v>33.4</v>
      </c>
      <c r="AE38">
        <v>26</v>
      </c>
      <c r="AF38">
        <v>22.4</v>
      </c>
      <c r="AG38">
        <v>42</v>
      </c>
      <c r="AH38">
        <v>58</v>
      </c>
      <c r="AI38">
        <v>67.2</v>
      </c>
      <c r="AJ38">
        <v>32.799999999999997</v>
      </c>
      <c r="AK38">
        <v>43.2</v>
      </c>
      <c r="AL38">
        <v>43.3</v>
      </c>
      <c r="AM38">
        <v>40.1</v>
      </c>
      <c r="AN38" t="s">
        <v>79</v>
      </c>
      <c r="AO38">
        <v>68.7</v>
      </c>
      <c r="AP38">
        <v>26.9</v>
      </c>
      <c r="AQ38">
        <v>20.399999999999999</v>
      </c>
      <c r="AR38">
        <v>59.1</v>
      </c>
      <c r="AS38" t="s">
        <v>80</v>
      </c>
      <c r="AT38" t="s">
        <v>56</v>
      </c>
      <c r="AU38" t="s">
        <v>81</v>
      </c>
      <c r="AV38">
        <v>4.4000000000000004</v>
      </c>
      <c r="AW38">
        <v>0.38</v>
      </c>
    </row>
    <row r="39" spans="1:49" x14ac:dyDescent="0.25">
      <c r="A39" t="s">
        <v>77</v>
      </c>
      <c r="B39" t="s">
        <v>78</v>
      </c>
      <c r="C39" t="s">
        <v>51</v>
      </c>
      <c r="D39" t="s">
        <v>52</v>
      </c>
      <c r="E39">
        <v>2025</v>
      </c>
      <c r="F39">
        <v>12</v>
      </c>
      <c r="G39" t="s">
        <v>68</v>
      </c>
      <c r="H39">
        <v>25309</v>
      </c>
      <c r="I39">
        <v>266640</v>
      </c>
      <c r="J39">
        <v>21007</v>
      </c>
      <c r="K39">
        <v>0.19</v>
      </c>
      <c r="L39">
        <v>46.4</v>
      </c>
      <c r="M39">
        <v>36.1</v>
      </c>
      <c r="N39">
        <v>44.7</v>
      </c>
      <c r="O39">
        <v>29.1</v>
      </c>
      <c r="P39">
        <v>29.4</v>
      </c>
      <c r="Q39">
        <v>18</v>
      </c>
      <c r="R39">
        <v>20.9</v>
      </c>
      <c r="S39">
        <v>21.7</v>
      </c>
      <c r="T39">
        <v>10</v>
      </c>
      <c r="U39">
        <v>11.7</v>
      </c>
      <c r="V39">
        <v>11.3</v>
      </c>
      <c r="W39">
        <v>12.2</v>
      </c>
      <c r="X39">
        <v>32.4</v>
      </c>
      <c r="Y39">
        <v>30.9</v>
      </c>
      <c r="Z39">
        <v>20.7</v>
      </c>
      <c r="AA39">
        <v>12.2</v>
      </c>
      <c r="AB39">
        <v>3.8</v>
      </c>
      <c r="AC39">
        <v>17.2</v>
      </c>
      <c r="AD39">
        <v>34.4</v>
      </c>
      <c r="AE39">
        <v>26.4</v>
      </c>
      <c r="AF39">
        <v>22</v>
      </c>
      <c r="AG39">
        <v>40.4</v>
      </c>
      <c r="AH39">
        <v>59.6</v>
      </c>
      <c r="AI39">
        <v>64.5</v>
      </c>
      <c r="AJ39">
        <v>35.5</v>
      </c>
      <c r="AK39">
        <v>42.7</v>
      </c>
      <c r="AL39">
        <v>43.8</v>
      </c>
      <c r="AM39">
        <v>42.1</v>
      </c>
      <c r="AN39" t="s">
        <v>79</v>
      </c>
      <c r="AO39">
        <v>69.3</v>
      </c>
      <c r="AP39">
        <v>34.200000000000003</v>
      </c>
      <c r="AQ39">
        <v>22.6</v>
      </c>
      <c r="AR39">
        <v>71.7</v>
      </c>
      <c r="AS39" t="s">
        <v>80</v>
      </c>
      <c r="AT39" t="s">
        <v>56</v>
      </c>
      <c r="AU39" t="s">
        <v>81</v>
      </c>
      <c r="AV39">
        <v>4.4000000000000004</v>
      </c>
      <c r="AW39">
        <v>0.35</v>
      </c>
    </row>
    <row r="40" spans="1:49" x14ac:dyDescent="0.25">
      <c r="A40" t="s">
        <v>77</v>
      </c>
      <c r="B40" t="s">
        <v>78</v>
      </c>
      <c r="C40" t="s">
        <v>51</v>
      </c>
      <c r="D40" t="s">
        <v>52</v>
      </c>
      <c r="E40">
        <v>2026</v>
      </c>
      <c r="F40">
        <v>1</v>
      </c>
      <c r="G40" t="s">
        <v>69</v>
      </c>
      <c r="H40">
        <v>27616</v>
      </c>
      <c r="I40">
        <v>294256</v>
      </c>
      <c r="J40">
        <v>23836</v>
      </c>
      <c r="K40">
        <v>0.21</v>
      </c>
      <c r="L40">
        <v>47.5</v>
      </c>
      <c r="M40">
        <v>33.9</v>
      </c>
      <c r="N40">
        <v>41.9</v>
      </c>
      <c r="O40">
        <v>31.9</v>
      </c>
      <c r="P40">
        <v>27.9</v>
      </c>
      <c r="Q40">
        <v>15.3</v>
      </c>
      <c r="R40">
        <v>19.100000000000001</v>
      </c>
      <c r="S40">
        <v>21</v>
      </c>
      <c r="T40">
        <v>10.199999999999999</v>
      </c>
      <c r="U40">
        <v>12.9</v>
      </c>
      <c r="V40">
        <v>11.1</v>
      </c>
      <c r="W40">
        <v>13</v>
      </c>
      <c r="X40">
        <v>31.2</v>
      </c>
      <c r="Y40">
        <v>32.1</v>
      </c>
      <c r="Z40">
        <v>18.399999999999999</v>
      </c>
      <c r="AA40">
        <v>13.3</v>
      </c>
      <c r="AB40">
        <v>5</v>
      </c>
      <c r="AC40">
        <v>17.5</v>
      </c>
      <c r="AD40">
        <v>32.6</v>
      </c>
      <c r="AE40">
        <v>29.6</v>
      </c>
      <c r="AF40">
        <v>20.3</v>
      </c>
      <c r="AG40">
        <v>42.9</v>
      </c>
      <c r="AH40">
        <v>57.1</v>
      </c>
      <c r="AI40">
        <v>70.7</v>
      </c>
      <c r="AJ40">
        <v>29.3</v>
      </c>
      <c r="AK40">
        <v>47.3</v>
      </c>
      <c r="AL40">
        <v>44.1</v>
      </c>
      <c r="AM40">
        <v>40.6</v>
      </c>
      <c r="AN40" t="s">
        <v>79</v>
      </c>
      <c r="AO40">
        <v>75.2</v>
      </c>
      <c r="AP40">
        <v>27.9</v>
      </c>
      <c r="AQ40">
        <v>23.3</v>
      </c>
      <c r="AR40">
        <v>66.3</v>
      </c>
      <c r="AS40" t="s">
        <v>80</v>
      </c>
      <c r="AT40" t="s">
        <v>56</v>
      </c>
      <c r="AU40" t="s">
        <v>81</v>
      </c>
      <c r="AV40">
        <v>4.4000000000000004</v>
      </c>
      <c r="AW40">
        <v>0.37</v>
      </c>
    </row>
    <row r="41" spans="1:49" x14ac:dyDescent="0.25">
      <c r="A41" t="s">
        <v>82</v>
      </c>
      <c r="B41" t="s">
        <v>83</v>
      </c>
      <c r="C41" t="s">
        <v>51</v>
      </c>
      <c r="D41" t="s">
        <v>84</v>
      </c>
      <c r="E41">
        <v>2025</v>
      </c>
      <c r="F41">
        <v>1</v>
      </c>
      <c r="G41" t="s">
        <v>53</v>
      </c>
      <c r="H41">
        <v>11036</v>
      </c>
      <c r="I41">
        <v>11036</v>
      </c>
      <c r="J41">
        <v>9523</v>
      </c>
      <c r="K41">
        <v>0.31</v>
      </c>
      <c r="L41">
        <v>45</v>
      </c>
      <c r="M41">
        <v>36.4</v>
      </c>
      <c r="N41">
        <v>35.799999999999997</v>
      </c>
      <c r="O41">
        <v>27.8</v>
      </c>
      <c r="P41">
        <v>20.100000000000001</v>
      </c>
      <c r="Q41">
        <v>20.8</v>
      </c>
      <c r="R41">
        <v>16.399999999999999</v>
      </c>
      <c r="S41">
        <v>15.7</v>
      </c>
      <c r="T41">
        <v>8.4</v>
      </c>
      <c r="U41">
        <v>11.4</v>
      </c>
      <c r="V41">
        <v>10.5</v>
      </c>
      <c r="W41">
        <v>11.5</v>
      </c>
      <c r="X41">
        <v>35.799999999999997</v>
      </c>
      <c r="Y41">
        <v>27.5</v>
      </c>
      <c r="Z41">
        <v>21.9</v>
      </c>
      <c r="AA41">
        <v>10.6</v>
      </c>
      <c r="AB41">
        <v>4.0999999999999996</v>
      </c>
      <c r="AC41">
        <v>18.600000000000001</v>
      </c>
      <c r="AD41">
        <v>30.8</v>
      </c>
      <c r="AE41">
        <v>30.8</v>
      </c>
      <c r="AF41">
        <v>19.7</v>
      </c>
      <c r="AG41">
        <v>42.7</v>
      </c>
      <c r="AH41">
        <v>57.3</v>
      </c>
      <c r="AI41">
        <v>64.400000000000006</v>
      </c>
      <c r="AJ41">
        <v>35.6</v>
      </c>
      <c r="AK41">
        <v>46.6</v>
      </c>
      <c r="AL41">
        <v>46.3</v>
      </c>
      <c r="AM41">
        <v>37.200000000000003</v>
      </c>
      <c r="AN41" t="s">
        <v>85</v>
      </c>
      <c r="AO41">
        <v>68.599999999999994</v>
      </c>
      <c r="AP41">
        <v>24.4</v>
      </c>
      <c r="AQ41">
        <v>26.2</v>
      </c>
      <c r="AR41">
        <v>62.7</v>
      </c>
      <c r="AS41" t="s">
        <v>86</v>
      </c>
      <c r="AT41" t="s">
        <v>74</v>
      </c>
      <c r="AU41" t="s">
        <v>56</v>
      </c>
      <c r="AV41">
        <v>4.3</v>
      </c>
      <c r="AW41">
        <v>0.37</v>
      </c>
    </row>
    <row r="42" spans="1:49" x14ac:dyDescent="0.25">
      <c r="A42" t="s">
        <v>82</v>
      </c>
      <c r="B42" t="s">
        <v>83</v>
      </c>
      <c r="C42" t="s">
        <v>51</v>
      </c>
      <c r="D42" t="s">
        <v>84</v>
      </c>
      <c r="E42">
        <v>2025</v>
      </c>
      <c r="F42">
        <v>2</v>
      </c>
      <c r="G42" t="s">
        <v>58</v>
      </c>
      <c r="H42">
        <v>11957</v>
      </c>
      <c r="I42">
        <v>22993</v>
      </c>
      <c r="J42">
        <v>9924</v>
      </c>
      <c r="K42">
        <v>0.19</v>
      </c>
      <c r="L42">
        <v>46.7</v>
      </c>
      <c r="M42">
        <v>35</v>
      </c>
      <c r="N42">
        <v>38.6</v>
      </c>
      <c r="O42">
        <v>27.9</v>
      </c>
      <c r="P42">
        <v>20.8</v>
      </c>
      <c r="Q42">
        <v>23.3</v>
      </c>
      <c r="R42">
        <v>14.4</v>
      </c>
      <c r="S42">
        <v>14.8</v>
      </c>
      <c r="T42">
        <v>7.7</v>
      </c>
      <c r="U42">
        <v>10.5</v>
      </c>
      <c r="V42">
        <v>10.3</v>
      </c>
      <c r="W42">
        <v>13</v>
      </c>
      <c r="X42">
        <v>30.2</v>
      </c>
      <c r="Y42">
        <v>29.7</v>
      </c>
      <c r="Z42">
        <v>24.5</v>
      </c>
      <c r="AA42">
        <v>10.6</v>
      </c>
      <c r="AB42">
        <v>5</v>
      </c>
      <c r="AC42">
        <v>17</v>
      </c>
      <c r="AD42">
        <v>30.2</v>
      </c>
      <c r="AE42">
        <v>26.7</v>
      </c>
      <c r="AF42">
        <v>26</v>
      </c>
      <c r="AG42">
        <v>45.9</v>
      </c>
      <c r="AH42">
        <v>54.1</v>
      </c>
      <c r="AI42">
        <v>71.7</v>
      </c>
      <c r="AJ42">
        <v>28.3</v>
      </c>
      <c r="AK42">
        <v>43.6</v>
      </c>
      <c r="AL42">
        <v>47.2</v>
      </c>
      <c r="AM42">
        <v>39.4</v>
      </c>
      <c r="AN42" t="s">
        <v>85</v>
      </c>
      <c r="AO42">
        <v>68</v>
      </c>
      <c r="AP42">
        <v>35.299999999999997</v>
      </c>
      <c r="AQ42">
        <v>27.7</v>
      </c>
      <c r="AR42">
        <v>70.2</v>
      </c>
      <c r="AS42" t="s">
        <v>86</v>
      </c>
      <c r="AT42" t="s">
        <v>74</v>
      </c>
      <c r="AU42" t="s">
        <v>56</v>
      </c>
      <c r="AV42">
        <v>4.4000000000000004</v>
      </c>
      <c r="AW42">
        <v>0.31</v>
      </c>
    </row>
    <row r="43" spans="1:49" x14ac:dyDescent="0.25">
      <c r="A43" t="s">
        <v>82</v>
      </c>
      <c r="B43" t="s">
        <v>83</v>
      </c>
      <c r="C43" t="s">
        <v>51</v>
      </c>
      <c r="D43" t="s">
        <v>84</v>
      </c>
      <c r="E43">
        <v>2025</v>
      </c>
      <c r="F43">
        <v>3</v>
      </c>
      <c r="G43" t="s">
        <v>59</v>
      </c>
      <c r="H43">
        <v>12514</v>
      </c>
      <c r="I43">
        <v>35507</v>
      </c>
      <c r="J43">
        <v>10492</v>
      </c>
      <c r="K43">
        <v>0.28000000000000003</v>
      </c>
      <c r="L43">
        <v>45.1</v>
      </c>
      <c r="M43">
        <v>37.299999999999997</v>
      </c>
      <c r="N43">
        <v>35.799999999999997</v>
      </c>
      <c r="O43">
        <v>27.7</v>
      </c>
      <c r="P43">
        <v>20.7</v>
      </c>
      <c r="Q43">
        <v>23.3</v>
      </c>
      <c r="R43">
        <v>14.3</v>
      </c>
      <c r="S43">
        <v>17.100000000000001</v>
      </c>
      <c r="T43">
        <v>9.4</v>
      </c>
      <c r="U43">
        <v>13.1</v>
      </c>
      <c r="V43">
        <v>10.7</v>
      </c>
      <c r="W43">
        <v>11.9</v>
      </c>
      <c r="X43">
        <v>35</v>
      </c>
      <c r="Y43">
        <v>29.4</v>
      </c>
      <c r="Z43">
        <v>18.2</v>
      </c>
      <c r="AA43">
        <v>13.7</v>
      </c>
      <c r="AB43">
        <v>3.8</v>
      </c>
      <c r="AC43">
        <v>18.100000000000001</v>
      </c>
      <c r="AD43">
        <v>34.1</v>
      </c>
      <c r="AE43">
        <v>27.1</v>
      </c>
      <c r="AF43">
        <v>20.7</v>
      </c>
      <c r="AG43">
        <v>44</v>
      </c>
      <c r="AH43">
        <v>56</v>
      </c>
      <c r="AI43">
        <v>65.900000000000006</v>
      </c>
      <c r="AJ43">
        <v>34.1</v>
      </c>
      <c r="AK43">
        <v>40.4</v>
      </c>
      <c r="AL43">
        <v>51.8</v>
      </c>
      <c r="AM43">
        <v>38.700000000000003</v>
      </c>
      <c r="AN43" t="s">
        <v>85</v>
      </c>
      <c r="AO43">
        <v>73.2</v>
      </c>
      <c r="AP43">
        <v>23.5</v>
      </c>
      <c r="AQ43">
        <v>27.9</v>
      </c>
      <c r="AR43">
        <v>72</v>
      </c>
      <c r="AS43" t="s">
        <v>86</v>
      </c>
      <c r="AT43" t="s">
        <v>74</v>
      </c>
      <c r="AU43" t="s">
        <v>56</v>
      </c>
      <c r="AV43">
        <v>4.5999999999999996</v>
      </c>
      <c r="AW43">
        <v>0.38</v>
      </c>
    </row>
    <row r="44" spans="1:49" x14ac:dyDescent="0.25">
      <c r="A44" t="s">
        <v>82</v>
      </c>
      <c r="B44" t="s">
        <v>83</v>
      </c>
      <c r="C44" t="s">
        <v>51</v>
      </c>
      <c r="D44" t="s">
        <v>84</v>
      </c>
      <c r="E44">
        <v>2025</v>
      </c>
      <c r="F44">
        <v>4</v>
      </c>
      <c r="G44" t="s">
        <v>60</v>
      </c>
      <c r="H44">
        <v>13677</v>
      </c>
      <c r="I44">
        <v>49184</v>
      </c>
      <c r="J44">
        <v>11821</v>
      </c>
      <c r="K44">
        <v>0.3</v>
      </c>
      <c r="L44">
        <v>45.7</v>
      </c>
      <c r="M44">
        <v>36.4</v>
      </c>
      <c r="N44">
        <v>38.799999999999997</v>
      </c>
      <c r="O44">
        <v>28.3</v>
      </c>
      <c r="P44">
        <v>22.5</v>
      </c>
      <c r="Q44">
        <v>21.5</v>
      </c>
      <c r="R44">
        <v>16.3</v>
      </c>
      <c r="S44">
        <v>14.5</v>
      </c>
      <c r="T44">
        <v>8.5</v>
      </c>
      <c r="U44">
        <v>10.3</v>
      </c>
      <c r="V44">
        <v>9.6999999999999993</v>
      </c>
      <c r="W44">
        <v>11.6</v>
      </c>
      <c r="X44">
        <v>34.5</v>
      </c>
      <c r="Y44">
        <v>29</v>
      </c>
      <c r="Z44">
        <v>21.4</v>
      </c>
      <c r="AA44">
        <v>10.199999999999999</v>
      </c>
      <c r="AB44">
        <v>5</v>
      </c>
      <c r="AC44">
        <v>16.2</v>
      </c>
      <c r="AD44">
        <v>31.4</v>
      </c>
      <c r="AE44">
        <v>26.4</v>
      </c>
      <c r="AF44">
        <v>26</v>
      </c>
      <c r="AG44">
        <v>43.6</v>
      </c>
      <c r="AH44">
        <v>56.4</v>
      </c>
      <c r="AI44">
        <v>68.7</v>
      </c>
      <c r="AJ44">
        <v>31.3</v>
      </c>
      <c r="AK44">
        <v>44.2</v>
      </c>
      <c r="AL44">
        <v>46.8</v>
      </c>
      <c r="AM44">
        <v>35.200000000000003</v>
      </c>
      <c r="AN44" t="s">
        <v>85</v>
      </c>
      <c r="AO44">
        <v>73</v>
      </c>
      <c r="AP44">
        <v>28.5</v>
      </c>
      <c r="AQ44">
        <v>24.6</v>
      </c>
      <c r="AR44">
        <v>70.099999999999994</v>
      </c>
      <c r="AS44" t="s">
        <v>86</v>
      </c>
      <c r="AT44" t="s">
        <v>74</v>
      </c>
      <c r="AU44" t="s">
        <v>56</v>
      </c>
      <c r="AV44">
        <v>4</v>
      </c>
      <c r="AW44">
        <v>0.34</v>
      </c>
    </row>
    <row r="45" spans="1:49" x14ac:dyDescent="0.25">
      <c r="A45" t="s">
        <v>82</v>
      </c>
      <c r="B45" t="s">
        <v>83</v>
      </c>
      <c r="C45" t="s">
        <v>51</v>
      </c>
      <c r="D45" t="s">
        <v>84</v>
      </c>
      <c r="E45">
        <v>2025</v>
      </c>
      <c r="F45">
        <v>5</v>
      </c>
      <c r="G45" t="s">
        <v>61</v>
      </c>
      <c r="H45">
        <v>14023</v>
      </c>
      <c r="I45">
        <v>63207</v>
      </c>
      <c r="J45">
        <v>11987</v>
      </c>
      <c r="K45">
        <v>0.25</v>
      </c>
      <c r="L45">
        <v>46.3</v>
      </c>
      <c r="M45">
        <v>38.5</v>
      </c>
      <c r="N45">
        <v>38.6</v>
      </c>
      <c r="O45">
        <v>29.4</v>
      </c>
      <c r="P45">
        <v>19.8</v>
      </c>
      <c r="Q45">
        <v>20.6</v>
      </c>
      <c r="R45">
        <v>13.8</v>
      </c>
      <c r="S45">
        <v>17</v>
      </c>
      <c r="T45">
        <v>9.6</v>
      </c>
      <c r="U45">
        <v>11</v>
      </c>
      <c r="V45">
        <v>11.5</v>
      </c>
      <c r="W45">
        <v>11</v>
      </c>
      <c r="X45">
        <v>33.4</v>
      </c>
      <c r="Y45">
        <v>28.5</v>
      </c>
      <c r="Z45">
        <v>22.8</v>
      </c>
      <c r="AA45">
        <v>10.3</v>
      </c>
      <c r="AB45">
        <v>5</v>
      </c>
      <c r="AC45">
        <v>15.7</v>
      </c>
      <c r="AD45">
        <v>31.8</v>
      </c>
      <c r="AE45">
        <v>30</v>
      </c>
      <c r="AF45">
        <v>22.4</v>
      </c>
      <c r="AG45">
        <v>43.2</v>
      </c>
      <c r="AH45">
        <v>56.8</v>
      </c>
      <c r="AI45">
        <v>65.099999999999994</v>
      </c>
      <c r="AJ45">
        <v>34.9</v>
      </c>
      <c r="AK45">
        <v>41</v>
      </c>
      <c r="AL45">
        <v>43.8</v>
      </c>
      <c r="AM45">
        <v>41.1</v>
      </c>
      <c r="AN45" t="s">
        <v>85</v>
      </c>
      <c r="AO45">
        <v>72.900000000000006</v>
      </c>
      <c r="AP45">
        <v>32</v>
      </c>
      <c r="AQ45">
        <v>23.3</v>
      </c>
      <c r="AR45">
        <v>63.8</v>
      </c>
      <c r="AS45" t="s">
        <v>86</v>
      </c>
      <c r="AT45" t="s">
        <v>74</v>
      </c>
      <c r="AU45" t="s">
        <v>56</v>
      </c>
      <c r="AV45">
        <v>3.8</v>
      </c>
      <c r="AW45">
        <v>0.35</v>
      </c>
    </row>
    <row r="46" spans="1:49" x14ac:dyDescent="0.25">
      <c r="A46" t="s">
        <v>82</v>
      </c>
      <c r="B46" t="s">
        <v>83</v>
      </c>
      <c r="C46" t="s">
        <v>51</v>
      </c>
      <c r="D46" t="s">
        <v>84</v>
      </c>
      <c r="E46">
        <v>2025</v>
      </c>
      <c r="F46">
        <v>6</v>
      </c>
      <c r="G46" t="s">
        <v>62</v>
      </c>
      <c r="H46">
        <v>15476</v>
      </c>
      <c r="I46">
        <v>78683</v>
      </c>
      <c r="J46">
        <v>12789</v>
      </c>
      <c r="K46">
        <v>0.26</v>
      </c>
      <c r="L46">
        <v>45.3</v>
      </c>
      <c r="M46">
        <v>37.200000000000003</v>
      </c>
      <c r="N46">
        <v>39.1</v>
      </c>
      <c r="O46">
        <v>28.1</v>
      </c>
      <c r="P46">
        <v>20.3</v>
      </c>
      <c r="Q46">
        <v>22.3</v>
      </c>
      <c r="R46">
        <v>16.7</v>
      </c>
      <c r="S46">
        <v>17.100000000000001</v>
      </c>
      <c r="T46">
        <v>9.4</v>
      </c>
      <c r="U46">
        <v>13</v>
      </c>
      <c r="V46">
        <v>9.4</v>
      </c>
      <c r="W46">
        <v>10.9</v>
      </c>
      <c r="X46">
        <v>31.3</v>
      </c>
      <c r="Y46">
        <v>31</v>
      </c>
      <c r="Z46">
        <v>23.4</v>
      </c>
      <c r="AA46">
        <v>10.8</v>
      </c>
      <c r="AB46">
        <v>3.5</v>
      </c>
      <c r="AC46">
        <v>15.4</v>
      </c>
      <c r="AD46">
        <v>34.700000000000003</v>
      </c>
      <c r="AE46">
        <v>27.4</v>
      </c>
      <c r="AF46">
        <v>22.5</v>
      </c>
      <c r="AG46">
        <v>44.9</v>
      </c>
      <c r="AH46">
        <v>55.1</v>
      </c>
      <c r="AI46">
        <v>66.2</v>
      </c>
      <c r="AJ46">
        <v>33.799999999999997</v>
      </c>
      <c r="AK46">
        <v>44.7</v>
      </c>
      <c r="AL46">
        <v>43.7</v>
      </c>
      <c r="AM46">
        <v>41.6</v>
      </c>
      <c r="AN46" t="s">
        <v>85</v>
      </c>
      <c r="AO46">
        <v>73.3</v>
      </c>
      <c r="AP46">
        <v>23.3</v>
      </c>
      <c r="AQ46">
        <v>27.5</v>
      </c>
      <c r="AR46">
        <v>64.3</v>
      </c>
      <c r="AS46" t="s">
        <v>86</v>
      </c>
      <c r="AT46" t="s">
        <v>74</v>
      </c>
      <c r="AU46" t="s">
        <v>56</v>
      </c>
      <c r="AV46">
        <v>4.5999999999999996</v>
      </c>
      <c r="AW46">
        <v>0.32</v>
      </c>
    </row>
    <row r="47" spans="1:49" x14ac:dyDescent="0.25">
      <c r="A47" t="s">
        <v>82</v>
      </c>
      <c r="B47" t="s">
        <v>83</v>
      </c>
      <c r="C47" t="s">
        <v>51</v>
      </c>
      <c r="D47" t="s">
        <v>84</v>
      </c>
      <c r="E47">
        <v>2025</v>
      </c>
      <c r="F47">
        <v>7</v>
      </c>
      <c r="G47" t="s">
        <v>63</v>
      </c>
      <c r="H47">
        <v>14682</v>
      </c>
      <c r="I47">
        <v>93365</v>
      </c>
      <c r="J47">
        <v>12060</v>
      </c>
      <c r="K47">
        <v>0.27</v>
      </c>
      <c r="L47">
        <v>46.3</v>
      </c>
      <c r="M47">
        <v>38.799999999999997</v>
      </c>
      <c r="N47">
        <v>37.6</v>
      </c>
      <c r="O47">
        <v>28.6</v>
      </c>
      <c r="P47">
        <v>22.5</v>
      </c>
      <c r="Q47">
        <v>23.8</v>
      </c>
      <c r="R47">
        <v>14.2</v>
      </c>
      <c r="S47">
        <v>17</v>
      </c>
      <c r="T47">
        <v>8.1</v>
      </c>
      <c r="U47">
        <v>11.6</v>
      </c>
      <c r="V47">
        <v>10.9</v>
      </c>
      <c r="W47">
        <v>11.9</v>
      </c>
      <c r="X47">
        <v>31.1</v>
      </c>
      <c r="Y47">
        <v>28.2</v>
      </c>
      <c r="Z47">
        <v>23.9</v>
      </c>
      <c r="AA47">
        <v>11.9</v>
      </c>
      <c r="AB47">
        <v>5</v>
      </c>
      <c r="AC47">
        <v>15.6</v>
      </c>
      <c r="AD47">
        <v>30.5</v>
      </c>
      <c r="AE47">
        <v>26.4</v>
      </c>
      <c r="AF47">
        <v>27.5</v>
      </c>
      <c r="AG47">
        <v>45.4</v>
      </c>
      <c r="AH47">
        <v>54.6</v>
      </c>
      <c r="AI47">
        <v>63.9</v>
      </c>
      <c r="AJ47">
        <v>36.1</v>
      </c>
      <c r="AK47">
        <v>44.2</v>
      </c>
      <c r="AL47">
        <v>42.7</v>
      </c>
      <c r="AM47">
        <v>42.2</v>
      </c>
      <c r="AN47" t="s">
        <v>85</v>
      </c>
      <c r="AO47">
        <v>70.599999999999994</v>
      </c>
      <c r="AP47">
        <v>25.2</v>
      </c>
      <c r="AQ47">
        <v>24.3</v>
      </c>
      <c r="AR47">
        <v>59</v>
      </c>
      <c r="AS47" t="s">
        <v>86</v>
      </c>
      <c r="AT47" t="s">
        <v>74</v>
      </c>
      <c r="AU47" t="s">
        <v>56</v>
      </c>
      <c r="AV47">
        <v>3.9</v>
      </c>
      <c r="AW47">
        <v>0.35</v>
      </c>
    </row>
    <row r="48" spans="1:49" x14ac:dyDescent="0.25">
      <c r="A48" t="s">
        <v>82</v>
      </c>
      <c r="B48" t="s">
        <v>83</v>
      </c>
      <c r="C48" t="s">
        <v>51</v>
      </c>
      <c r="D48" t="s">
        <v>84</v>
      </c>
      <c r="E48">
        <v>2025</v>
      </c>
      <c r="F48">
        <v>8</v>
      </c>
      <c r="G48" t="s">
        <v>64</v>
      </c>
      <c r="H48">
        <v>17417</v>
      </c>
      <c r="I48">
        <v>110782</v>
      </c>
      <c r="J48">
        <v>14962</v>
      </c>
      <c r="K48">
        <v>0.25</v>
      </c>
      <c r="L48">
        <v>45.5</v>
      </c>
      <c r="M48">
        <v>35.6</v>
      </c>
      <c r="N48">
        <v>40.1</v>
      </c>
      <c r="O48">
        <v>29.1</v>
      </c>
      <c r="P48">
        <v>23.1</v>
      </c>
      <c r="Q48">
        <v>22.7</v>
      </c>
      <c r="R48">
        <v>15.2</v>
      </c>
      <c r="S48">
        <v>14.3</v>
      </c>
      <c r="T48">
        <v>8.6</v>
      </c>
      <c r="U48">
        <v>13.2</v>
      </c>
      <c r="V48">
        <v>9.1999999999999993</v>
      </c>
      <c r="W48">
        <v>11.9</v>
      </c>
      <c r="X48">
        <v>33.299999999999997</v>
      </c>
      <c r="Y48">
        <v>27.4</v>
      </c>
      <c r="Z48">
        <v>21.5</v>
      </c>
      <c r="AA48">
        <v>12.8</v>
      </c>
      <c r="AB48">
        <v>5</v>
      </c>
      <c r="AC48">
        <v>16.100000000000001</v>
      </c>
      <c r="AD48">
        <v>34</v>
      </c>
      <c r="AE48">
        <v>30</v>
      </c>
      <c r="AF48">
        <v>19.899999999999999</v>
      </c>
      <c r="AG48">
        <v>45.6</v>
      </c>
      <c r="AH48">
        <v>54.4</v>
      </c>
      <c r="AI48">
        <v>64.3</v>
      </c>
      <c r="AJ48">
        <v>35.700000000000003</v>
      </c>
      <c r="AK48">
        <v>44.3</v>
      </c>
      <c r="AL48">
        <v>50.4</v>
      </c>
      <c r="AM48">
        <v>39.700000000000003</v>
      </c>
      <c r="AN48" t="s">
        <v>85</v>
      </c>
      <c r="AO48">
        <v>71.2</v>
      </c>
      <c r="AP48">
        <v>24.1</v>
      </c>
      <c r="AQ48">
        <v>31.9</v>
      </c>
      <c r="AR48">
        <v>71</v>
      </c>
      <c r="AS48" t="s">
        <v>86</v>
      </c>
      <c r="AT48" t="s">
        <v>74</v>
      </c>
      <c r="AU48" t="s">
        <v>56</v>
      </c>
      <c r="AV48">
        <v>4.3</v>
      </c>
      <c r="AW48">
        <v>0.31</v>
      </c>
    </row>
    <row r="49" spans="1:49" x14ac:dyDescent="0.25">
      <c r="A49" t="s">
        <v>82</v>
      </c>
      <c r="B49" t="s">
        <v>83</v>
      </c>
      <c r="C49" t="s">
        <v>51</v>
      </c>
      <c r="D49" t="s">
        <v>84</v>
      </c>
      <c r="E49">
        <v>2025</v>
      </c>
      <c r="F49">
        <v>9</v>
      </c>
      <c r="G49" t="s">
        <v>65</v>
      </c>
      <c r="H49">
        <v>17841</v>
      </c>
      <c r="I49">
        <v>128623</v>
      </c>
      <c r="J49">
        <v>14766</v>
      </c>
      <c r="K49">
        <v>0.3</v>
      </c>
      <c r="L49">
        <v>46.8</v>
      </c>
      <c r="M49">
        <v>36.9</v>
      </c>
      <c r="N49">
        <v>37.5</v>
      </c>
      <c r="O49">
        <v>27.9</v>
      </c>
      <c r="P49">
        <v>22.7</v>
      </c>
      <c r="Q49">
        <v>20.2</v>
      </c>
      <c r="R49">
        <v>16.600000000000001</v>
      </c>
      <c r="S49">
        <v>16.600000000000001</v>
      </c>
      <c r="T49">
        <v>7.8</v>
      </c>
      <c r="U49">
        <v>11.5</v>
      </c>
      <c r="V49">
        <v>10</v>
      </c>
      <c r="W49">
        <v>11.9</v>
      </c>
      <c r="X49">
        <v>33.9</v>
      </c>
      <c r="Y49">
        <v>27.9</v>
      </c>
      <c r="Z49">
        <v>22.9</v>
      </c>
      <c r="AA49">
        <v>13.3</v>
      </c>
      <c r="AB49">
        <v>2</v>
      </c>
      <c r="AC49">
        <v>15.3</v>
      </c>
      <c r="AD49">
        <v>35.6</v>
      </c>
      <c r="AE49">
        <v>26.6</v>
      </c>
      <c r="AF49">
        <v>22.6</v>
      </c>
      <c r="AG49">
        <v>44.9</v>
      </c>
      <c r="AH49">
        <v>55.1</v>
      </c>
      <c r="AI49">
        <v>65.8</v>
      </c>
      <c r="AJ49">
        <v>34.200000000000003</v>
      </c>
      <c r="AK49">
        <v>42.4</v>
      </c>
      <c r="AL49">
        <v>42.8</v>
      </c>
      <c r="AM49">
        <v>38.6</v>
      </c>
      <c r="AN49" t="s">
        <v>85</v>
      </c>
      <c r="AO49">
        <v>75</v>
      </c>
      <c r="AP49">
        <v>34.200000000000003</v>
      </c>
      <c r="AQ49">
        <v>29.7</v>
      </c>
      <c r="AR49">
        <v>69.099999999999994</v>
      </c>
      <c r="AS49" t="s">
        <v>86</v>
      </c>
      <c r="AT49" t="s">
        <v>74</v>
      </c>
      <c r="AU49" t="s">
        <v>56</v>
      </c>
      <c r="AV49">
        <v>3.8</v>
      </c>
      <c r="AW49">
        <v>0.37</v>
      </c>
    </row>
    <row r="50" spans="1:49" x14ac:dyDescent="0.25">
      <c r="A50" t="s">
        <v>82</v>
      </c>
      <c r="B50" t="s">
        <v>83</v>
      </c>
      <c r="C50" t="s">
        <v>51</v>
      </c>
      <c r="D50" t="s">
        <v>84</v>
      </c>
      <c r="E50">
        <v>2025</v>
      </c>
      <c r="F50">
        <v>10</v>
      </c>
      <c r="G50" t="s">
        <v>66</v>
      </c>
      <c r="H50">
        <v>16718</v>
      </c>
      <c r="I50">
        <v>145341</v>
      </c>
      <c r="J50">
        <v>14687</v>
      </c>
      <c r="K50">
        <v>0.27</v>
      </c>
      <c r="L50">
        <v>47</v>
      </c>
      <c r="M50">
        <v>34.9</v>
      </c>
      <c r="N50">
        <v>40.1</v>
      </c>
      <c r="O50">
        <v>29</v>
      </c>
      <c r="P50">
        <v>24.1</v>
      </c>
      <c r="Q50">
        <v>22.9</v>
      </c>
      <c r="R50">
        <v>14.3</v>
      </c>
      <c r="S50">
        <v>15.9</v>
      </c>
      <c r="T50">
        <v>8.1</v>
      </c>
      <c r="U50">
        <v>10.7</v>
      </c>
      <c r="V50">
        <v>9.8000000000000007</v>
      </c>
      <c r="W50">
        <v>11</v>
      </c>
      <c r="X50">
        <v>29.1</v>
      </c>
      <c r="Y50">
        <v>31.8</v>
      </c>
      <c r="Z50">
        <v>21.3</v>
      </c>
      <c r="AA50">
        <v>13.8</v>
      </c>
      <c r="AB50">
        <v>4</v>
      </c>
      <c r="AC50">
        <v>16.600000000000001</v>
      </c>
      <c r="AD50">
        <v>31.9</v>
      </c>
      <c r="AE50">
        <v>28.5</v>
      </c>
      <c r="AF50">
        <v>23</v>
      </c>
      <c r="AG50">
        <v>42.6</v>
      </c>
      <c r="AH50">
        <v>57.4</v>
      </c>
      <c r="AI50">
        <v>63.1</v>
      </c>
      <c r="AJ50">
        <v>36.9</v>
      </c>
      <c r="AK50">
        <v>41.2</v>
      </c>
      <c r="AL50">
        <v>42.6</v>
      </c>
      <c r="AM50">
        <v>42</v>
      </c>
      <c r="AN50" t="s">
        <v>85</v>
      </c>
      <c r="AO50">
        <v>73.099999999999994</v>
      </c>
      <c r="AP50">
        <v>25</v>
      </c>
      <c r="AQ50">
        <v>27.4</v>
      </c>
      <c r="AR50">
        <v>67.099999999999994</v>
      </c>
      <c r="AS50" t="s">
        <v>86</v>
      </c>
      <c r="AT50" t="s">
        <v>74</v>
      </c>
      <c r="AU50" t="s">
        <v>56</v>
      </c>
      <c r="AV50">
        <v>4.2</v>
      </c>
      <c r="AW50">
        <v>0.31</v>
      </c>
    </row>
    <row r="51" spans="1:49" x14ac:dyDescent="0.25">
      <c r="A51" t="s">
        <v>82</v>
      </c>
      <c r="B51" t="s">
        <v>83</v>
      </c>
      <c r="C51" t="s">
        <v>51</v>
      </c>
      <c r="D51" t="s">
        <v>84</v>
      </c>
      <c r="E51">
        <v>2025</v>
      </c>
      <c r="F51">
        <v>11</v>
      </c>
      <c r="G51" t="s">
        <v>67</v>
      </c>
      <c r="H51">
        <v>19082</v>
      </c>
      <c r="I51">
        <v>164423</v>
      </c>
      <c r="J51">
        <v>15713</v>
      </c>
      <c r="K51">
        <v>0.28000000000000003</v>
      </c>
      <c r="L51">
        <v>47.5</v>
      </c>
      <c r="M51">
        <v>37.299999999999997</v>
      </c>
      <c r="N51">
        <v>37.1</v>
      </c>
      <c r="O51">
        <v>28.6</v>
      </c>
      <c r="P51">
        <v>22.5</v>
      </c>
      <c r="Q51">
        <v>22.6</v>
      </c>
      <c r="R51">
        <v>14</v>
      </c>
      <c r="S51">
        <v>16</v>
      </c>
      <c r="T51">
        <v>9.9</v>
      </c>
      <c r="U51">
        <v>12.7</v>
      </c>
      <c r="V51">
        <v>10.5</v>
      </c>
      <c r="W51">
        <v>11.7</v>
      </c>
      <c r="X51">
        <v>33</v>
      </c>
      <c r="Y51">
        <v>29.2</v>
      </c>
      <c r="Z51">
        <v>19.399999999999999</v>
      </c>
      <c r="AA51">
        <v>13.4</v>
      </c>
      <c r="AB51">
        <v>5</v>
      </c>
      <c r="AC51">
        <v>16.7</v>
      </c>
      <c r="AD51">
        <v>31.2</v>
      </c>
      <c r="AE51">
        <v>27.8</v>
      </c>
      <c r="AF51">
        <v>24.3</v>
      </c>
      <c r="AG51">
        <v>42.5</v>
      </c>
      <c r="AH51">
        <v>57.5</v>
      </c>
      <c r="AI51">
        <v>70.3</v>
      </c>
      <c r="AJ51">
        <v>29.7</v>
      </c>
      <c r="AK51">
        <v>43.9</v>
      </c>
      <c r="AL51">
        <v>42.2</v>
      </c>
      <c r="AM51">
        <v>37.299999999999997</v>
      </c>
      <c r="AN51" t="s">
        <v>85</v>
      </c>
      <c r="AO51">
        <v>73.900000000000006</v>
      </c>
      <c r="AP51">
        <v>32.799999999999997</v>
      </c>
      <c r="AQ51">
        <v>20.100000000000001</v>
      </c>
      <c r="AR51">
        <v>63.8</v>
      </c>
      <c r="AS51" t="s">
        <v>86</v>
      </c>
      <c r="AT51" t="s">
        <v>74</v>
      </c>
      <c r="AU51" t="s">
        <v>56</v>
      </c>
      <c r="AV51">
        <v>4.5</v>
      </c>
      <c r="AW51">
        <v>0.31</v>
      </c>
    </row>
    <row r="52" spans="1:49" x14ac:dyDescent="0.25">
      <c r="A52" t="s">
        <v>82</v>
      </c>
      <c r="B52" t="s">
        <v>83</v>
      </c>
      <c r="C52" t="s">
        <v>51</v>
      </c>
      <c r="D52" t="s">
        <v>84</v>
      </c>
      <c r="E52">
        <v>2025</v>
      </c>
      <c r="F52">
        <v>12</v>
      </c>
      <c r="G52" t="s">
        <v>68</v>
      </c>
      <c r="H52">
        <v>18326</v>
      </c>
      <c r="I52">
        <v>182749</v>
      </c>
      <c r="J52">
        <v>15263</v>
      </c>
      <c r="K52">
        <v>0.18</v>
      </c>
      <c r="L52">
        <v>45.2</v>
      </c>
      <c r="M52">
        <v>37.700000000000003</v>
      </c>
      <c r="N52">
        <v>40.6</v>
      </c>
      <c r="O52">
        <v>29.7</v>
      </c>
      <c r="P52">
        <v>22.9</v>
      </c>
      <c r="Q52">
        <v>22</v>
      </c>
      <c r="R52">
        <v>15.2</v>
      </c>
      <c r="S52">
        <v>18</v>
      </c>
      <c r="T52">
        <v>7.2</v>
      </c>
      <c r="U52">
        <v>11.8</v>
      </c>
      <c r="V52">
        <v>9.1999999999999993</v>
      </c>
      <c r="W52">
        <v>11.8</v>
      </c>
      <c r="X52">
        <v>33.1</v>
      </c>
      <c r="Y52">
        <v>29.2</v>
      </c>
      <c r="Z52">
        <v>21.3</v>
      </c>
      <c r="AA52">
        <v>11.3</v>
      </c>
      <c r="AB52">
        <v>5</v>
      </c>
      <c r="AC52">
        <v>18.7</v>
      </c>
      <c r="AD52">
        <v>35.4</v>
      </c>
      <c r="AE52">
        <v>30.8</v>
      </c>
      <c r="AF52">
        <v>15.2</v>
      </c>
      <c r="AG52">
        <v>44.7</v>
      </c>
      <c r="AH52">
        <v>55.3</v>
      </c>
      <c r="AI52">
        <v>65.2</v>
      </c>
      <c r="AJ52">
        <v>34.799999999999997</v>
      </c>
      <c r="AK52">
        <v>40.299999999999997</v>
      </c>
      <c r="AL52">
        <v>51</v>
      </c>
      <c r="AM52">
        <v>39.200000000000003</v>
      </c>
      <c r="AN52" t="s">
        <v>85</v>
      </c>
      <c r="AO52">
        <v>73.5</v>
      </c>
      <c r="AP52">
        <v>28.1</v>
      </c>
      <c r="AQ52">
        <v>23.1</v>
      </c>
      <c r="AR52">
        <v>69.8</v>
      </c>
      <c r="AS52" t="s">
        <v>86</v>
      </c>
      <c r="AT52" t="s">
        <v>74</v>
      </c>
      <c r="AU52" t="s">
        <v>56</v>
      </c>
      <c r="AV52">
        <v>4.4000000000000004</v>
      </c>
      <c r="AW52">
        <v>0.37</v>
      </c>
    </row>
    <row r="53" spans="1:49" x14ac:dyDescent="0.25">
      <c r="A53" t="s">
        <v>82</v>
      </c>
      <c r="B53" t="s">
        <v>83</v>
      </c>
      <c r="C53" t="s">
        <v>51</v>
      </c>
      <c r="D53" t="s">
        <v>84</v>
      </c>
      <c r="E53">
        <v>2026</v>
      </c>
      <c r="F53">
        <v>1</v>
      </c>
      <c r="G53" t="s">
        <v>69</v>
      </c>
      <c r="H53">
        <v>19951</v>
      </c>
      <c r="I53">
        <v>202700</v>
      </c>
      <c r="J53">
        <v>17121</v>
      </c>
      <c r="K53">
        <v>0.27</v>
      </c>
      <c r="L53">
        <v>44.7</v>
      </c>
      <c r="M53">
        <v>37.799999999999997</v>
      </c>
      <c r="N53">
        <v>39.799999999999997</v>
      </c>
      <c r="O53">
        <v>30</v>
      </c>
      <c r="P53">
        <v>25.6</v>
      </c>
      <c r="Q53">
        <v>20</v>
      </c>
      <c r="R53">
        <v>14.1</v>
      </c>
      <c r="S53">
        <v>17.100000000000001</v>
      </c>
      <c r="T53">
        <v>7.1</v>
      </c>
      <c r="U53">
        <v>10.5</v>
      </c>
      <c r="V53">
        <v>8.6999999999999993</v>
      </c>
      <c r="W53">
        <v>13</v>
      </c>
      <c r="X53">
        <v>32.200000000000003</v>
      </c>
      <c r="Y53">
        <v>28.8</v>
      </c>
      <c r="Z53">
        <v>21.1</v>
      </c>
      <c r="AA53">
        <v>12.9</v>
      </c>
      <c r="AB53">
        <v>5</v>
      </c>
      <c r="AC53">
        <v>18</v>
      </c>
      <c r="AD53">
        <v>31.1</v>
      </c>
      <c r="AE53">
        <v>26.9</v>
      </c>
      <c r="AF53">
        <v>24.1</v>
      </c>
      <c r="AG53">
        <v>40.6</v>
      </c>
      <c r="AH53">
        <v>59.4</v>
      </c>
      <c r="AI53">
        <v>68.599999999999994</v>
      </c>
      <c r="AJ53">
        <v>31.4</v>
      </c>
      <c r="AK53">
        <v>47.7</v>
      </c>
      <c r="AL53">
        <v>45</v>
      </c>
      <c r="AM53">
        <v>41.9</v>
      </c>
      <c r="AN53" t="s">
        <v>85</v>
      </c>
      <c r="AO53">
        <v>74.099999999999994</v>
      </c>
      <c r="AP53">
        <v>25.7</v>
      </c>
      <c r="AQ53">
        <v>20.3</v>
      </c>
      <c r="AR53">
        <v>59.2</v>
      </c>
      <c r="AS53" t="s">
        <v>86</v>
      </c>
      <c r="AT53" t="s">
        <v>74</v>
      </c>
      <c r="AU53" t="s">
        <v>56</v>
      </c>
      <c r="AV53">
        <v>4.3</v>
      </c>
      <c r="AW53">
        <v>0.34</v>
      </c>
    </row>
    <row r="54" spans="1:49" x14ac:dyDescent="0.25">
      <c r="A54" t="s">
        <v>87</v>
      </c>
      <c r="B54" t="s">
        <v>88</v>
      </c>
      <c r="C54" t="s">
        <v>51</v>
      </c>
      <c r="D54" t="s">
        <v>52</v>
      </c>
      <c r="E54">
        <v>2025</v>
      </c>
      <c r="F54">
        <v>1</v>
      </c>
      <c r="G54" t="s">
        <v>53</v>
      </c>
      <c r="H54">
        <v>13785</v>
      </c>
      <c r="I54">
        <v>13785</v>
      </c>
      <c r="J54">
        <v>11404</v>
      </c>
      <c r="K54">
        <v>0.27</v>
      </c>
      <c r="L54">
        <v>46.8</v>
      </c>
      <c r="M54">
        <v>36.700000000000003</v>
      </c>
      <c r="N54">
        <v>34.9</v>
      </c>
      <c r="O54">
        <v>24</v>
      </c>
      <c r="P54">
        <v>19.399999999999999</v>
      </c>
      <c r="Q54">
        <v>23.5</v>
      </c>
      <c r="R54">
        <v>17.899999999999999</v>
      </c>
      <c r="S54">
        <v>16.600000000000001</v>
      </c>
      <c r="T54">
        <v>13</v>
      </c>
      <c r="U54">
        <v>11.5</v>
      </c>
      <c r="V54">
        <v>10.5</v>
      </c>
      <c r="W54">
        <v>12</v>
      </c>
      <c r="X54">
        <v>31.7</v>
      </c>
      <c r="Y54">
        <v>32.299999999999997</v>
      </c>
      <c r="Z54">
        <v>20.100000000000001</v>
      </c>
      <c r="AA54">
        <v>10.9</v>
      </c>
      <c r="AB54">
        <v>5</v>
      </c>
      <c r="AC54">
        <v>16.600000000000001</v>
      </c>
      <c r="AD54">
        <v>32.6</v>
      </c>
      <c r="AE54">
        <v>29.1</v>
      </c>
      <c r="AF54">
        <v>21.7</v>
      </c>
      <c r="AG54">
        <v>45.7</v>
      </c>
      <c r="AH54">
        <v>54.3</v>
      </c>
      <c r="AI54">
        <v>64.400000000000006</v>
      </c>
      <c r="AJ54">
        <v>35.6</v>
      </c>
      <c r="AK54">
        <v>42.3</v>
      </c>
      <c r="AL54">
        <v>50.2</v>
      </c>
      <c r="AM54">
        <v>42.8</v>
      </c>
      <c r="AN54" t="s">
        <v>89</v>
      </c>
      <c r="AO54">
        <v>69</v>
      </c>
      <c r="AP54">
        <v>24.8</v>
      </c>
      <c r="AQ54">
        <v>30.6</v>
      </c>
      <c r="AR54">
        <v>67</v>
      </c>
      <c r="AS54" t="s">
        <v>74</v>
      </c>
      <c r="AT54" t="s">
        <v>90</v>
      </c>
      <c r="AU54" t="s">
        <v>75</v>
      </c>
      <c r="AV54">
        <v>4.5999999999999996</v>
      </c>
      <c r="AW54">
        <v>0.39</v>
      </c>
    </row>
    <row r="55" spans="1:49" x14ac:dyDescent="0.25">
      <c r="A55" t="s">
        <v>87</v>
      </c>
      <c r="B55" t="s">
        <v>88</v>
      </c>
      <c r="C55" t="s">
        <v>51</v>
      </c>
      <c r="D55" t="s">
        <v>52</v>
      </c>
      <c r="E55">
        <v>2025</v>
      </c>
      <c r="F55">
        <v>2</v>
      </c>
      <c r="G55" t="s">
        <v>58</v>
      </c>
      <c r="H55">
        <v>14962</v>
      </c>
      <c r="I55">
        <v>28747</v>
      </c>
      <c r="J55">
        <v>12946</v>
      </c>
      <c r="K55">
        <v>0.24</v>
      </c>
      <c r="L55">
        <v>47</v>
      </c>
      <c r="M55">
        <v>37.1</v>
      </c>
      <c r="N55">
        <v>37.5</v>
      </c>
      <c r="O55">
        <v>21.1</v>
      </c>
      <c r="P55">
        <v>18.8</v>
      </c>
      <c r="Q55">
        <v>26.2</v>
      </c>
      <c r="R55">
        <v>17.8</v>
      </c>
      <c r="S55">
        <v>14.4</v>
      </c>
      <c r="T55">
        <v>11.8</v>
      </c>
      <c r="U55">
        <v>9.6999999999999993</v>
      </c>
      <c r="V55">
        <v>10.3</v>
      </c>
      <c r="W55">
        <v>12.4</v>
      </c>
      <c r="X55">
        <v>32</v>
      </c>
      <c r="Y55">
        <v>31</v>
      </c>
      <c r="Z55">
        <v>22.4</v>
      </c>
      <c r="AA55">
        <v>11.7</v>
      </c>
      <c r="AB55">
        <v>2.8</v>
      </c>
      <c r="AC55">
        <v>17.5</v>
      </c>
      <c r="AD55">
        <v>33.1</v>
      </c>
      <c r="AE55">
        <v>27.5</v>
      </c>
      <c r="AF55">
        <v>21.9</v>
      </c>
      <c r="AG55">
        <v>43.4</v>
      </c>
      <c r="AH55">
        <v>56.6</v>
      </c>
      <c r="AI55">
        <v>68.900000000000006</v>
      </c>
      <c r="AJ55">
        <v>31.1</v>
      </c>
      <c r="AK55">
        <v>43.7</v>
      </c>
      <c r="AL55">
        <v>42.1</v>
      </c>
      <c r="AM55">
        <v>37.200000000000003</v>
      </c>
      <c r="AN55" t="s">
        <v>89</v>
      </c>
      <c r="AO55">
        <v>75</v>
      </c>
      <c r="AP55">
        <v>30.9</v>
      </c>
      <c r="AQ55">
        <v>29.1</v>
      </c>
      <c r="AR55">
        <v>60.2</v>
      </c>
      <c r="AS55" t="s">
        <v>74</v>
      </c>
      <c r="AT55" t="s">
        <v>90</v>
      </c>
      <c r="AU55" t="s">
        <v>75</v>
      </c>
      <c r="AV55">
        <v>4.5</v>
      </c>
      <c r="AW55">
        <v>0.4</v>
      </c>
    </row>
    <row r="56" spans="1:49" x14ac:dyDescent="0.25">
      <c r="A56" t="s">
        <v>87</v>
      </c>
      <c r="B56" t="s">
        <v>88</v>
      </c>
      <c r="C56" t="s">
        <v>51</v>
      </c>
      <c r="D56" t="s">
        <v>52</v>
      </c>
      <c r="E56">
        <v>2025</v>
      </c>
      <c r="F56">
        <v>3</v>
      </c>
      <c r="G56" t="s">
        <v>59</v>
      </c>
      <c r="H56">
        <v>15622</v>
      </c>
      <c r="I56">
        <v>44369</v>
      </c>
      <c r="J56">
        <v>13186</v>
      </c>
      <c r="K56">
        <v>0.28999999999999998</v>
      </c>
      <c r="L56">
        <v>45.1</v>
      </c>
      <c r="M56">
        <v>40</v>
      </c>
      <c r="N56">
        <v>37.5</v>
      </c>
      <c r="O56">
        <v>21.5</v>
      </c>
      <c r="P56">
        <v>18.399999999999999</v>
      </c>
      <c r="Q56">
        <v>25.4</v>
      </c>
      <c r="R56">
        <v>16.7</v>
      </c>
      <c r="S56">
        <v>14.1</v>
      </c>
      <c r="T56">
        <v>13.6</v>
      </c>
      <c r="U56">
        <v>9.4</v>
      </c>
      <c r="V56">
        <v>10.3</v>
      </c>
      <c r="W56">
        <v>10.9</v>
      </c>
      <c r="X56">
        <v>33.6</v>
      </c>
      <c r="Y56">
        <v>30</v>
      </c>
      <c r="Z56">
        <v>20.9</v>
      </c>
      <c r="AA56">
        <v>10.5</v>
      </c>
      <c r="AB56">
        <v>5</v>
      </c>
      <c r="AC56">
        <v>19.3</v>
      </c>
      <c r="AD56">
        <v>36</v>
      </c>
      <c r="AE56">
        <v>27.8</v>
      </c>
      <c r="AF56">
        <v>16.899999999999999</v>
      </c>
      <c r="AG56">
        <v>42.7</v>
      </c>
      <c r="AH56">
        <v>57.3</v>
      </c>
      <c r="AI56">
        <v>69.2</v>
      </c>
      <c r="AJ56">
        <v>30.8</v>
      </c>
      <c r="AK56">
        <v>45.6</v>
      </c>
      <c r="AL56">
        <v>42</v>
      </c>
      <c r="AM56">
        <v>40.6</v>
      </c>
      <c r="AN56" t="s">
        <v>89</v>
      </c>
      <c r="AO56">
        <v>75.099999999999994</v>
      </c>
      <c r="AP56">
        <v>30.3</v>
      </c>
      <c r="AQ56">
        <v>24.7</v>
      </c>
      <c r="AR56">
        <v>63.8</v>
      </c>
      <c r="AS56" t="s">
        <v>74</v>
      </c>
      <c r="AT56" t="s">
        <v>90</v>
      </c>
      <c r="AU56" t="s">
        <v>75</v>
      </c>
      <c r="AV56">
        <v>4</v>
      </c>
      <c r="AW56">
        <v>0.38</v>
      </c>
    </row>
    <row r="57" spans="1:49" x14ac:dyDescent="0.25">
      <c r="A57" t="s">
        <v>87</v>
      </c>
      <c r="B57" t="s">
        <v>88</v>
      </c>
      <c r="C57" t="s">
        <v>51</v>
      </c>
      <c r="D57" t="s">
        <v>52</v>
      </c>
      <c r="E57">
        <v>2025</v>
      </c>
      <c r="F57">
        <v>4</v>
      </c>
      <c r="G57" t="s">
        <v>60</v>
      </c>
      <c r="H57">
        <v>15605</v>
      </c>
      <c r="I57">
        <v>59974</v>
      </c>
      <c r="J57">
        <v>13346</v>
      </c>
      <c r="K57">
        <v>0.25</v>
      </c>
      <c r="L57">
        <v>46.4</v>
      </c>
      <c r="M57">
        <v>37.5</v>
      </c>
      <c r="N57">
        <v>37.4</v>
      </c>
      <c r="O57">
        <v>23.2</v>
      </c>
      <c r="P57">
        <v>19.8</v>
      </c>
      <c r="Q57">
        <v>25</v>
      </c>
      <c r="R57">
        <v>17.399999999999999</v>
      </c>
      <c r="S57">
        <v>13.1</v>
      </c>
      <c r="T57">
        <v>13.8</v>
      </c>
      <c r="U57">
        <v>10.8</v>
      </c>
      <c r="V57">
        <v>8.3000000000000007</v>
      </c>
      <c r="W57">
        <v>10.5</v>
      </c>
      <c r="X57">
        <v>33.9</v>
      </c>
      <c r="Y57">
        <v>30</v>
      </c>
      <c r="Z57">
        <v>22.5</v>
      </c>
      <c r="AA57">
        <v>11.6</v>
      </c>
      <c r="AB57">
        <v>2</v>
      </c>
      <c r="AC57">
        <v>16.600000000000001</v>
      </c>
      <c r="AD57">
        <v>30.9</v>
      </c>
      <c r="AE57">
        <v>27.6</v>
      </c>
      <c r="AF57">
        <v>24.8</v>
      </c>
      <c r="AG57">
        <v>42.6</v>
      </c>
      <c r="AH57">
        <v>57.4</v>
      </c>
      <c r="AI57">
        <v>62.9</v>
      </c>
      <c r="AJ57">
        <v>37.1</v>
      </c>
      <c r="AK57">
        <v>47.5</v>
      </c>
      <c r="AL57">
        <v>48.4</v>
      </c>
      <c r="AM57">
        <v>38.799999999999997</v>
      </c>
      <c r="AN57" t="s">
        <v>89</v>
      </c>
      <c r="AO57">
        <v>69.8</v>
      </c>
      <c r="AP57">
        <v>30.4</v>
      </c>
      <c r="AQ57">
        <v>28.8</v>
      </c>
      <c r="AR57">
        <v>72</v>
      </c>
      <c r="AS57" t="s">
        <v>74</v>
      </c>
      <c r="AT57" t="s">
        <v>90</v>
      </c>
      <c r="AU57" t="s">
        <v>75</v>
      </c>
      <c r="AV57">
        <v>4.4000000000000004</v>
      </c>
      <c r="AW57">
        <v>0.38</v>
      </c>
    </row>
    <row r="58" spans="1:49" x14ac:dyDescent="0.25">
      <c r="A58" t="s">
        <v>87</v>
      </c>
      <c r="B58" t="s">
        <v>88</v>
      </c>
      <c r="C58" t="s">
        <v>51</v>
      </c>
      <c r="D58" t="s">
        <v>52</v>
      </c>
      <c r="E58">
        <v>2025</v>
      </c>
      <c r="F58">
        <v>5</v>
      </c>
      <c r="G58" t="s">
        <v>61</v>
      </c>
      <c r="H58">
        <v>16509</v>
      </c>
      <c r="I58">
        <v>76483</v>
      </c>
      <c r="J58">
        <v>13943</v>
      </c>
      <c r="K58">
        <v>0.3</v>
      </c>
      <c r="L58">
        <v>45.7</v>
      </c>
      <c r="M58">
        <v>37.200000000000003</v>
      </c>
      <c r="N58">
        <v>36</v>
      </c>
      <c r="O58">
        <v>22.7</v>
      </c>
      <c r="P58">
        <v>19.100000000000001</v>
      </c>
      <c r="Q58">
        <v>22.4</v>
      </c>
      <c r="R58">
        <v>15.1</v>
      </c>
      <c r="S58">
        <v>15.7</v>
      </c>
      <c r="T58">
        <v>12.1</v>
      </c>
      <c r="U58">
        <v>10.9</v>
      </c>
      <c r="V58">
        <v>9</v>
      </c>
      <c r="W58">
        <v>12.3</v>
      </c>
      <c r="X58">
        <v>31.4</v>
      </c>
      <c r="Y58">
        <v>31.2</v>
      </c>
      <c r="Z58">
        <v>23.1</v>
      </c>
      <c r="AA58">
        <v>9.9</v>
      </c>
      <c r="AB58">
        <v>4.3</v>
      </c>
      <c r="AC58">
        <v>18.8</v>
      </c>
      <c r="AD58">
        <v>32.700000000000003</v>
      </c>
      <c r="AE58">
        <v>28.4</v>
      </c>
      <c r="AF58">
        <v>20</v>
      </c>
      <c r="AG58">
        <v>40.799999999999997</v>
      </c>
      <c r="AH58">
        <v>59.2</v>
      </c>
      <c r="AI58">
        <v>62.8</v>
      </c>
      <c r="AJ58">
        <v>37.200000000000003</v>
      </c>
      <c r="AK58">
        <v>46.1</v>
      </c>
      <c r="AL58">
        <v>43.6</v>
      </c>
      <c r="AM58">
        <v>40.5</v>
      </c>
      <c r="AN58" t="s">
        <v>89</v>
      </c>
      <c r="AO58">
        <v>73.8</v>
      </c>
      <c r="AP58">
        <v>29</v>
      </c>
      <c r="AQ58">
        <v>25.2</v>
      </c>
      <c r="AR58">
        <v>68.2</v>
      </c>
      <c r="AS58" t="s">
        <v>74</v>
      </c>
      <c r="AT58" t="s">
        <v>90</v>
      </c>
      <c r="AU58" t="s">
        <v>75</v>
      </c>
      <c r="AV58">
        <v>3.8</v>
      </c>
      <c r="AW58">
        <v>0.38</v>
      </c>
    </row>
    <row r="59" spans="1:49" x14ac:dyDescent="0.25">
      <c r="A59" t="s">
        <v>87</v>
      </c>
      <c r="B59" t="s">
        <v>88</v>
      </c>
      <c r="C59" t="s">
        <v>51</v>
      </c>
      <c r="D59" t="s">
        <v>52</v>
      </c>
      <c r="E59">
        <v>2025</v>
      </c>
      <c r="F59">
        <v>6</v>
      </c>
      <c r="G59" t="s">
        <v>62</v>
      </c>
      <c r="H59">
        <v>18937</v>
      </c>
      <c r="I59">
        <v>95420</v>
      </c>
      <c r="J59">
        <v>16615</v>
      </c>
      <c r="K59">
        <v>0.19</v>
      </c>
      <c r="L59">
        <v>44.7</v>
      </c>
      <c r="M59">
        <v>36.5</v>
      </c>
      <c r="N59">
        <v>36.4</v>
      </c>
      <c r="O59">
        <v>25.2</v>
      </c>
      <c r="P59">
        <v>19.2</v>
      </c>
      <c r="Q59">
        <v>23.4</v>
      </c>
      <c r="R59">
        <v>17.3</v>
      </c>
      <c r="S59">
        <v>14</v>
      </c>
      <c r="T59">
        <v>13.6</v>
      </c>
      <c r="U59">
        <v>9.5</v>
      </c>
      <c r="V59">
        <v>9.6</v>
      </c>
      <c r="W59">
        <v>10.199999999999999</v>
      </c>
      <c r="X59">
        <v>35.5</v>
      </c>
      <c r="Y59">
        <v>27</v>
      </c>
      <c r="Z59">
        <v>21.4</v>
      </c>
      <c r="AA59">
        <v>11.1</v>
      </c>
      <c r="AB59">
        <v>5</v>
      </c>
      <c r="AC59">
        <v>16.100000000000001</v>
      </c>
      <c r="AD59">
        <v>35.4</v>
      </c>
      <c r="AE59">
        <v>26.1</v>
      </c>
      <c r="AF59">
        <v>22.4</v>
      </c>
      <c r="AG59">
        <v>44</v>
      </c>
      <c r="AH59">
        <v>56</v>
      </c>
      <c r="AI59">
        <v>71.599999999999994</v>
      </c>
      <c r="AJ59">
        <v>28.4</v>
      </c>
      <c r="AK59">
        <v>42.1</v>
      </c>
      <c r="AL59">
        <v>49.3</v>
      </c>
      <c r="AM59">
        <v>43.8</v>
      </c>
      <c r="AN59" t="s">
        <v>89</v>
      </c>
      <c r="AO59">
        <v>72.5</v>
      </c>
      <c r="AP59">
        <v>35.1</v>
      </c>
      <c r="AQ59">
        <v>20.6</v>
      </c>
      <c r="AR59">
        <v>63.9</v>
      </c>
      <c r="AS59" t="s">
        <v>74</v>
      </c>
      <c r="AT59" t="s">
        <v>90</v>
      </c>
      <c r="AU59" t="s">
        <v>75</v>
      </c>
      <c r="AV59">
        <v>3.9</v>
      </c>
      <c r="AW59">
        <v>0.37</v>
      </c>
    </row>
    <row r="60" spans="1:49" x14ac:dyDescent="0.25">
      <c r="A60" t="s">
        <v>87</v>
      </c>
      <c r="B60" t="s">
        <v>88</v>
      </c>
      <c r="C60" t="s">
        <v>51</v>
      </c>
      <c r="D60" t="s">
        <v>52</v>
      </c>
      <c r="E60">
        <v>2025</v>
      </c>
      <c r="F60">
        <v>7</v>
      </c>
      <c r="G60" t="s">
        <v>63</v>
      </c>
      <c r="H60">
        <v>18428</v>
      </c>
      <c r="I60">
        <v>113848</v>
      </c>
      <c r="J60">
        <v>15736</v>
      </c>
      <c r="K60">
        <v>0.24</v>
      </c>
      <c r="L60">
        <v>47.4</v>
      </c>
      <c r="M60">
        <v>36.5</v>
      </c>
      <c r="N60">
        <v>36.1</v>
      </c>
      <c r="O60">
        <v>22.5</v>
      </c>
      <c r="P60">
        <v>19.5</v>
      </c>
      <c r="Q60">
        <v>23.3</v>
      </c>
      <c r="R60">
        <v>17.600000000000001</v>
      </c>
      <c r="S60">
        <v>14.7</v>
      </c>
      <c r="T60">
        <v>12.9</v>
      </c>
      <c r="U60">
        <v>9.6</v>
      </c>
      <c r="V60">
        <v>10.7</v>
      </c>
      <c r="W60">
        <v>11.5</v>
      </c>
      <c r="X60">
        <v>34.6</v>
      </c>
      <c r="Y60">
        <v>29.9</v>
      </c>
      <c r="Z60">
        <v>19.2</v>
      </c>
      <c r="AA60">
        <v>11.3</v>
      </c>
      <c r="AB60">
        <v>5</v>
      </c>
      <c r="AC60">
        <v>16.899999999999999</v>
      </c>
      <c r="AD60">
        <v>31</v>
      </c>
      <c r="AE60">
        <v>30.7</v>
      </c>
      <c r="AF60">
        <v>21.4</v>
      </c>
      <c r="AG60">
        <v>45.1</v>
      </c>
      <c r="AH60">
        <v>54.9</v>
      </c>
      <c r="AI60">
        <v>68.7</v>
      </c>
      <c r="AJ60">
        <v>31.3</v>
      </c>
      <c r="AK60">
        <v>40.5</v>
      </c>
      <c r="AL60">
        <v>47.1</v>
      </c>
      <c r="AM60">
        <v>42.3</v>
      </c>
      <c r="AN60" t="s">
        <v>89</v>
      </c>
      <c r="AO60">
        <v>71.7</v>
      </c>
      <c r="AP60">
        <v>27.8</v>
      </c>
      <c r="AQ60">
        <v>27.8</v>
      </c>
      <c r="AR60">
        <v>65.599999999999994</v>
      </c>
      <c r="AS60" t="s">
        <v>74</v>
      </c>
      <c r="AT60" t="s">
        <v>90</v>
      </c>
      <c r="AU60" t="s">
        <v>75</v>
      </c>
      <c r="AV60">
        <v>4.2</v>
      </c>
      <c r="AW60">
        <v>0.31</v>
      </c>
    </row>
    <row r="61" spans="1:49" x14ac:dyDescent="0.25">
      <c r="A61" t="s">
        <v>87</v>
      </c>
      <c r="B61" t="s">
        <v>88</v>
      </c>
      <c r="C61" t="s">
        <v>51</v>
      </c>
      <c r="D61" t="s">
        <v>52</v>
      </c>
      <c r="E61">
        <v>2025</v>
      </c>
      <c r="F61">
        <v>8</v>
      </c>
      <c r="G61" t="s">
        <v>64</v>
      </c>
      <c r="H61">
        <v>21181</v>
      </c>
      <c r="I61">
        <v>135029</v>
      </c>
      <c r="J61">
        <v>17624</v>
      </c>
      <c r="K61">
        <v>0.22</v>
      </c>
      <c r="L61">
        <v>45</v>
      </c>
      <c r="M61">
        <v>36.5</v>
      </c>
      <c r="N61">
        <v>37.799999999999997</v>
      </c>
      <c r="O61">
        <v>23</v>
      </c>
      <c r="P61">
        <v>22.5</v>
      </c>
      <c r="Q61">
        <v>25.8</v>
      </c>
      <c r="R61">
        <v>17.600000000000001</v>
      </c>
      <c r="S61">
        <v>13.2</v>
      </c>
      <c r="T61">
        <v>12.7</v>
      </c>
      <c r="U61">
        <v>12.3</v>
      </c>
      <c r="V61">
        <v>10.4</v>
      </c>
      <c r="W61">
        <v>10.199999999999999</v>
      </c>
      <c r="X61">
        <v>31.7</v>
      </c>
      <c r="Y61">
        <v>31.5</v>
      </c>
      <c r="Z61">
        <v>21.2</v>
      </c>
      <c r="AA61">
        <v>11.5</v>
      </c>
      <c r="AB61">
        <v>4.0999999999999996</v>
      </c>
      <c r="AC61">
        <v>14.6</v>
      </c>
      <c r="AD61">
        <v>33.9</v>
      </c>
      <c r="AE61">
        <v>30.1</v>
      </c>
      <c r="AF61">
        <v>21.3</v>
      </c>
      <c r="AG61">
        <v>42.3</v>
      </c>
      <c r="AH61">
        <v>57.7</v>
      </c>
      <c r="AI61">
        <v>69.8</v>
      </c>
      <c r="AJ61">
        <v>30.2</v>
      </c>
      <c r="AK61">
        <v>46.3</v>
      </c>
      <c r="AL61">
        <v>47.8</v>
      </c>
      <c r="AM61">
        <v>40.700000000000003</v>
      </c>
      <c r="AN61" t="s">
        <v>89</v>
      </c>
      <c r="AO61">
        <v>75.7</v>
      </c>
      <c r="AP61">
        <v>24.9</v>
      </c>
      <c r="AQ61">
        <v>26.3</v>
      </c>
      <c r="AR61">
        <v>62</v>
      </c>
      <c r="AS61" t="s">
        <v>74</v>
      </c>
      <c r="AT61" t="s">
        <v>90</v>
      </c>
      <c r="AU61" t="s">
        <v>75</v>
      </c>
      <c r="AV61">
        <v>4.5999999999999996</v>
      </c>
      <c r="AW61">
        <v>0.34</v>
      </c>
    </row>
    <row r="62" spans="1:49" x14ac:dyDescent="0.25">
      <c r="A62" t="s">
        <v>87</v>
      </c>
      <c r="B62" t="s">
        <v>88</v>
      </c>
      <c r="C62" t="s">
        <v>51</v>
      </c>
      <c r="D62" t="s">
        <v>52</v>
      </c>
      <c r="E62">
        <v>2025</v>
      </c>
      <c r="F62">
        <v>9</v>
      </c>
      <c r="G62" t="s">
        <v>65</v>
      </c>
      <c r="H62">
        <v>22548</v>
      </c>
      <c r="I62">
        <v>157577</v>
      </c>
      <c r="J62">
        <v>19210</v>
      </c>
      <c r="K62">
        <v>0.2</v>
      </c>
      <c r="L62">
        <v>46.6</v>
      </c>
      <c r="M62">
        <v>38</v>
      </c>
      <c r="N62">
        <v>39.299999999999997</v>
      </c>
      <c r="O62">
        <v>26.1</v>
      </c>
      <c r="P62">
        <v>20.5</v>
      </c>
      <c r="Q62">
        <v>26.2</v>
      </c>
      <c r="R62">
        <v>15.4</v>
      </c>
      <c r="S62">
        <v>13.4</v>
      </c>
      <c r="T62">
        <v>11.9</v>
      </c>
      <c r="U62">
        <v>12</v>
      </c>
      <c r="V62">
        <v>10.1</v>
      </c>
      <c r="W62">
        <v>10.7</v>
      </c>
      <c r="X62">
        <v>32.9</v>
      </c>
      <c r="Y62">
        <v>26.5</v>
      </c>
      <c r="Z62">
        <v>23.3</v>
      </c>
      <c r="AA62">
        <v>13</v>
      </c>
      <c r="AB62">
        <v>4.3</v>
      </c>
      <c r="AC62">
        <v>17</v>
      </c>
      <c r="AD62">
        <v>35.799999999999997</v>
      </c>
      <c r="AE62">
        <v>28.1</v>
      </c>
      <c r="AF62">
        <v>19.100000000000001</v>
      </c>
      <c r="AG62">
        <v>45.9</v>
      </c>
      <c r="AH62">
        <v>54.1</v>
      </c>
      <c r="AI62">
        <v>68.7</v>
      </c>
      <c r="AJ62">
        <v>31.3</v>
      </c>
      <c r="AK62">
        <v>41.3</v>
      </c>
      <c r="AL62">
        <v>42.1</v>
      </c>
      <c r="AM62">
        <v>40</v>
      </c>
      <c r="AN62" t="s">
        <v>89</v>
      </c>
      <c r="AO62">
        <v>73.099999999999994</v>
      </c>
      <c r="AP62">
        <v>24.3</v>
      </c>
      <c r="AQ62">
        <v>30.6</v>
      </c>
      <c r="AR62">
        <v>64</v>
      </c>
      <c r="AS62" t="s">
        <v>74</v>
      </c>
      <c r="AT62" t="s">
        <v>90</v>
      </c>
      <c r="AU62" t="s">
        <v>75</v>
      </c>
      <c r="AV62">
        <v>4.2</v>
      </c>
      <c r="AW62">
        <v>0.37</v>
      </c>
    </row>
    <row r="63" spans="1:49" x14ac:dyDescent="0.25">
      <c r="A63" t="s">
        <v>87</v>
      </c>
      <c r="B63" t="s">
        <v>88</v>
      </c>
      <c r="C63" t="s">
        <v>51</v>
      </c>
      <c r="D63" t="s">
        <v>52</v>
      </c>
      <c r="E63">
        <v>2025</v>
      </c>
      <c r="F63">
        <v>10</v>
      </c>
      <c r="G63" t="s">
        <v>66</v>
      </c>
      <c r="H63">
        <v>22464</v>
      </c>
      <c r="I63">
        <v>180041</v>
      </c>
      <c r="J63">
        <v>18527</v>
      </c>
      <c r="K63">
        <v>0.28000000000000003</v>
      </c>
      <c r="L63">
        <v>45.1</v>
      </c>
      <c r="M63">
        <v>36.9</v>
      </c>
      <c r="N63">
        <v>38.200000000000003</v>
      </c>
      <c r="O63">
        <v>25.6</v>
      </c>
      <c r="P63">
        <v>21.1</v>
      </c>
      <c r="Q63">
        <v>24.2</v>
      </c>
      <c r="R63">
        <v>17.5</v>
      </c>
      <c r="S63">
        <v>16.100000000000001</v>
      </c>
      <c r="T63">
        <v>12.4</v>
      </c>
      <c r="U63">
        <v>10.8</v>
      </c>
      <c r="V63">
        <v>10.6</v>
      </c>
      <c r="W63">
        <v>11.1</v>
      </c>
      <c r="X63">
        <v>34.299999999999997</v>
      </c>
      <c r="Y63">
        <v>31.4</v>
      </c>
      <c r="Z63">
        <v>19.100000000000001</v>
      </c>
      <c r="AA63">
        <v>10.199999999999999</v>
      </c>
      <c r="AB63">
        <v>5</v>
      </c>
      <c r="AC63">
        <v>14.9</v>
      </c>
      <c r="AD63">
        <v>32.1</v>
      </c>
      <c r="AE63">
        <v>28.3</v>
      </c>
      <c r="AF63">
        <v>24.8</v>
      </c>
      <c r="AG63">
        <v>44.5</v>
      </c>
      <c r="AH63">
        <v>55.5</v>
      </c>
      <c r="AI63">
        <v>68.5</v>
      </c>
      <c r="AJ63">
        <v>31.5</v>
      </c>
      <c r="AK63">
        <v>47.8</v>
      </c>
      <c r="AL63">
        <v>48.3</v>
      </c>
      <c r="AM63">
        <v>36.1</v>
      </c>
      <c r="AN63" t="s">
        <v>89</v>
      </c>
      <c r="AO63">
        <v>73</v>
      </c>
      <c r="AP63">
        <v>26.9</v>
      </c>
      <c r="AQ63">
        <v>30.1</v>
      </c>
      <c r="AR63">
        <v>64.599999999999994</v>
      </c>
      <c r="AS63" t="s">
        <v>74</v>
      </c>
      <c r="AT63" t="s">
        <v>90</v>
      </c>
      <c r="AU63" t="s">
        <v>75</v>
      </c>
      <c r="AV63">
        <v>4.4000000000000004</v>
      </c>
      <c r="AW63">
        <v>0.33</v>
      </c>
    </row>
    <row r="64" spans="1:49" x14ac:dyDescent="0.25">
      <c r="A64" t="s">
        <v>87</v>
      </c>
      <c r="B64" t="s">
        <v>88</v>
      </c>
      <c r="C64" t="s">
        <v>51</v>
      </c>
      <c r="D64" t="s">
        <v>52</v>
      </c>
      <c r="E64">
        <v>2025</v>
      </c>
      <c r="F64">
        <v>11</v>
      </c>
      <c r="G64" t="s">
        <v>67</v>
      </c>
      <c r="H64">
        <v>22462</v>
      </c>
      <c r="I64">
        <v>202503</v>
      </c>
      <c r="J64">
        <v>18512</v>
      </c>
      <c r="K64">
        <v>0.2</v>
      </c>
      <c r="L64">
        <v>47.1</v>
      </c>
      <c r="M64">
        <v>39.700000000000003</v>
      </c>
      <c r="N64">
        <v>37.299999999999997</v>
      </c>
      <c r="O64">
        <v>25.7</v>
      </c>
      <c r="P64">
        <v>23</v>
      </c>
      <c r="Q64">
        <v>24.4</v>
      </c>
      <c r="R64">
        <v>15.9</v>
      </c>
      <c r="S64">
        <v>14.7</v>
      </c>
      <c r="T64">
        <v>11.4</v>
      </c>
      <c r="U64">
        <v>10.199999999999999</v>
      </c>
      <c r="V64">
        <v>10.1</v>
      </c>
      <c r="W64">
        <v>12.6</v>
      </c>
      <c r="X64">
        <v>34.1</v>
      </c>
      <c r="Y64">
        <v>30.7</v>
      </c>
      <c r="Z64">
        <v>22</v>
      </c>
      <c r="AA64">
        <v>10.3</v>
      </c>
      <c r="AB64">
        <v>2.8</v>
      </c>
      <c r="AC64">
        <v>19.399999999999999</v>
      </c>
      <c r="AD64">
        <v>34</v>
      </c>
      <c r="AE64">
        <v>28.8</v>
      </c>
      <c r="AF64">
        <v>17.7</v>
      </c>
      <c r="AG64">
        <v>40.700000000000003</v>
      </c>
      <c r="AH64">
        <v>59.3</v>
      </c>
      <c r="AI64">
        <v>66.5</v>
      </c>
      <c r="AJ64">
        <v>33.5</v>
      </c>
      <c r="AK64">
        <v>47.8</v>
      </c>
      <c r="AL64">
        <v>43.1</v>
      </c>
      <c r="AM64">
        <v>38.799999999999997</v>
      </c>
      <c r="AN64" t="s">
        <v>89</v>
      </c>
      <c r="AO64">
        <v>71.7</v>
      </c>
      <c r="AP64">
        <v>34.1</v>
      </c>
      <c r="AQ64">
        <v>26.6</v>
      </c>
      <c r="AR64">
        <v>63.3</v>
      </c>
      <c r="AS64" t="s">
        <v>74</v>
      </c>
      <c r="AT64" t="s">
        <v>90</v>
      </c>
      <c r="AU64" t="s">
        <v>75</v>
      </c>
      <c r="AV64">
        <v>3.7</v>
      </c>
      <c r="AW64">
        <v>0.37</v>
      </c>
    </row>
    <row r="65" spans="1:49" x14ac:dyDescent="0.25">
      <c r="A65" t="s">
        <v>87</v>
      </c>
      <c r="B65" t="s">
        <v>88</v>
      </c>
      <c r="C65" t="s">
        <v>51</v>
      </c>
      <c r="D65" t="s">
        <v>52</v>
      </c>
      <c r="E65">
        <v>2025</v>
      </c>
      <c r="F65">
        <v>12</v>
      </c>
      <c r="G65" t="s">
        <v>68</v>
      </c>
      <c r="H65">
        <v>23983</v>
      </c>
      <c r="I65">
        <v>226486</v>
      </c>
      <c r="J65">
        <v>20069</v>
      </c>
      <c r="K65">
        <v>0.3</v>
      </c>
      <c r="L65">
        <v>45.4</v>
      </c>
      <c r="M65">
        <v>38.4</v>
      </c>
      <c r="N65">
        <v>39.6</v>
      </c>
      <c r="O65">
        <v>23.5</v>
      </c>
      <c r="P65">
        <v>24.5</v>
      </c>
      <c r="Q65">
        <v>25.2</v>
      </c>
      <c r="R65">
        <v>15.9</v>
      </c>
      <c r="S65">
        <v>17.7</v>
      </c>
      <c r="T65">
        <v>12.1</v>
      </c>
      <c r="U65">
        <v>11.9</v>
      </c>
      <c r="V65">
        <v>8.4</v>
      </c>
      <c r="W65">
        <v>12.1</v>
      </c>
      <c r="X65">
        <v>32.5</v>
      </c>
      <c r="Y65">
        <v>30.3</v>
      </c>
      <c r="Z65">
        <v>20.9</v>
      </c>
      <c r="AA65">
        <v>11.3</v>
      </c>
      <c r="AB65">
        <v>5</v>
      </c>
      <c r="AC65">
        <v>15.8</v>
      </c>
      <c r="AD65">
        <v>33.6</v>
      </c>
      <c r="AE65">
        <v>27.5</v>
      </c>
      <c r="AF65">
        <v>23.1</v>
      </c>
      <c r="AG65">
        <v>41.8</v>
      </c>
      <c r="AH65">
        <v>58.2</v>
      </c>
      <c r="AI65">
        <v>69.400000000000006</v>
      </c>
      <c r="AJ65">
        <v>30.6</v>
      </c>
      <c r="AK65">
        <v>44.7</v>
      </c>
      <c r="AL65">
        <v>50.9</v>
      </c>
      <c r="AM65">
        <v>36.700000000000003</v>
      </c>
      <c r="AN65" t="s">
        <v>89</v>
      </c>
      <c r="AO65">
        <v>68.400000000000006</v>
      </c>
      <c r="AP65">
        <v>34.6</v>
      </c>
      <c r="AQ65">
        <v>30.2</v>
      </c>
      <c r="AR65">
        <v>67.3</v>
      </c>
      <c r="AS65" t="s">
        <v>74</v>
      </c>
      <c r="AT65" t="s">
        <v>90</v>
      </c>
      <c r="AU65" t="s">
        <v>75</v>
      </c>
      <c r="AV65">
        <v>3.7</v>
      </c>
      <c r="AW65">
        <v>0.32</v>
      </c>
    </row>
    <row r="66" spans="1:49" x14ac:dyDescent="0.25">
      <c r="A66" t="s">
        <v>87</v>
      </c>
      <c r="B66" t="s">
        <v>88</v>
      </c>
      <c r="C66" t="s">
        <v>51</v>
      </c>
      <c r="D66" t="s">
        <v>52</v>
      </c>
      <c r="E66">
        <v>2026</v>
      </c>
      <c r="F66">
        <v>1</v>
      </c>
      <c r="G66" t="s">
        <v>69</v>
      </c>
      <c r="H66">
        <v>24238</v>
      </c>
      <c r="I66">
        <v>250724</v>
      </c>
      <c r="J66">
        <v>19925</v>
      </c>
      <c r="K66">
        <v>0.26</v>
      </c>
      <c r="L66">
        <v>47.5</v>
      </c>
      <c r="M66">
        <v>38.299999999999997</v>
      </c>
      <c r="N66">
        <v>36.799999999999997</v>
      </c>
      <c r="O66">
        <v>27</v>
      </c>
      <c r="P66">
        <v>23.4</v>
      </c>
      <c r="Q66">
        <v>22.8</v>
      </c>
      <c r="R66">
        <v>15.3</v>
      </c>
      <c r="S66">
        <v>17.899999999999999</v>
      </c>
      <c r="T66">
        <v>13.3</v>
      </c>
      <c r="U66">
        <v>11.8</v>
      </c>
      <c r="V66">
        <v>10.7</v>
      </c>
      <c r="W66">
        <v>11.8</v>
      </c>
      <c r="X66">
        <v>32.299999999999997</v>
      </c>
      <c r="Y66">
        <v>28.6</v>
      </c>
      <c r="Z66">
        <v>21.3</v>
      </c>
      <c r="AA66">
        <v>12.9</v>
      </c>
      <c r="AB66">
        <v>5</v>
      </c>
      <c r="AC66">
        <v>17.600000000000001</v>
      </c>
      <c r="AD66">
        <v>35.4</v>
      </c>
      <c r="AE66">
        <v>28.2</v>
      </c>
      <c r="AF66">
        <v>18.8</v>
      </c>
      <c r="AG66">
        <v>43.6</v>
      </c>
      <c r="AH66">
        <v>56.4</v>
      </c>
      <c r="AI66">
        <v>68.3</v>
      </c>
      <c r="AJ66">
        <v>31.7</v>
      </c>
      <c r="AK66">
        <v>40.799999999999997</v>
      </c>
      <c r="AL66">
        <v>45.8</v>
      </c>
      <c r="AM66">
        <v>39.4</v>
      </c>
      <c r="AN66" t="s">
        <v>89</v>
      </c>
      <c r="AO66">
        <v>72.7</v>
      </c>
      <c r="AP66">
        <v>31.8</v>
      </c>
      <c r="AQ66">
        <v>22.8</v>
      </c>
      <c r="AR66">
        <v>65.2</v>
      </c>
      <c r="AS66" t="s">
        <v>74</v>
      </c>
      <c r="AT66" t="s">
        <v>90</v>
      </c>
      <c r="AU66" t="s">
        <v>75</v>
      </c>
      <c r="AV66">
        <v>4.4000000000000004</v>
      </c>
      <c r="AW66">
        <v>0.4</v>
      </c>
    </row>
    <row r="67" spans="1:49" x14ac:dyDescent="0.25">
      <c r="A67" t="s">
        <v>91</v>
      </c>
      <c r="B67" t="s">
        <v>92</v>
      </c>
      <c r="C67" t="s">
        <v>51</v>
      </c>
      <c r="D67" t="s">
        <v>93</v>
      </c>
      <c r="E67">
        <v>2025</v>
      </c>
      <c r="F67">
        <v>1</v>
      </c>
      <c r="G67" t="s">
        <v>53</v>
      </c>
      <c r="H67">
        <v>14627</v>
      </c>
      <c r="I67">
        <v>14627</v>
      </c>
      <c r="J67">
        <v>12646</v>
      </c>
      <c r="K67">
        <v>0.25</v>
      </c>
      <c r="L67">
        <v>46.4</v>
      </c>
      <c r="M67">
        <v>33.9</v>
      </c>
      <c r="N67">
        <v>38.799999999999997</v>
      </c>
      <c r="O67">
        <v>27.7</v>
      </c>
      <c r="P67">
        <v>20.3</v>
      </c>
      <c r="Q67">
        <v>18.899999999999999</v>
      </c>
      <c r="R67">
        <v>17.399999999999999</v>
      </c>
      <c r="S67">
        <v>51.1</v>
      </c>
      <c r="T67">
        <v>8.1</v>
      </c>
      <c r="U67">
        <v>11.5</v>
      </c>
      <c r="V67">
        <v>9.9</v>
      </c>
      <c r="W67">
        <v>13.1</v>
      </c>
      <c r="X67">
        <v>33.299999999999997</v>
      </c>
      <c r="Y67">
        <v>31.9</v>
      </c>
      <c r="Z67">
        <v>20.8</v>
      </c>
      <c r="AA67">
        <v>9</v>
      </c>
      <c r="AB67">
        <v>5</v>
      </c>
      <c r="AC67">
        <v>15.3</v>
      </c>
      <c r="AD67">
        <v>30.2</v>
      </c>
      <c r="AE67">
        <v>26.5</v>
      </c>
      <c r="AF67">
        <v>27.9</v>
      </c>
      <c r="AG67">
        <v>42</v>
      </c>
      <c r="AH67">
        <v>58</v>
      </c>
      <c r="AI67">
        <v>70</v>
      </c>
      <c r="AJ67">
        <v>30</v>
      </c>
      <c r="AK67">
        <v>43.2</v>
      </c>
      <c r="AL67">
        <v>42.9</v>
      </c>
      <c r="AM67">
        <v>40.6</v>
      </c>
      <c r="AN67" t="s">
        <v>94</v>
      </c>
      <c r="AO67">
        <v>72.599999999999994</v>
      </c>
      <c r="AP67">
        <v>29.2</v>
      </c>
      <c r="AQ67">
        <v>23.5</v>
      </c>
      <c r="AR67">
        <v>71</v>
      </c>
      <c r="AS67" t="s">
        <v>56</v>
      </c>
      <c r="AT67" t="s">
        <v>55</v>
      </c>
      <c r="AU67" t="s">
        <v>74</v>
      </c>
      <c r="AV67">
        <v>3.7</v>
      </c>
      <c r="AW67">
        <v>0.33</v>
      </c>
    </row>
    <row r="68" spans="1:49" x14ac:dyDescent="0.25">
      <c r="A68" t="s">
        <v>91</v>
      </c>
      <c r="B68" t="s">
        <v>92</v>
      </c>
      <c r="C68" t="s">
        <v>51</v>
      </c>
      <c r="D68" t="s">
        <v>93</v>
      </c>
      <c r="E68">
        <v>2025</v>
      </c>
      <c r="F68">
        <v>2</v>
      </c>
      <c r="G68" t="s">
        <v>58</v>
      </c>
      <c r="H68">
        <v>15521</v>
      </c>
      <c r="I68">
        <v>30148</v>
      </c>
      <c r="J68">
        <v>13541</v>
      </c>
      <c r="K68">
        <v>0.25</v>
      </c>
      <c r="L68">
        <v>46.6</v>
      </c>
      <c r="M68">
        <v>36.1</v>
      </c>
      <c r="N68">
        <v>38.6</v>
      </c>
      <c r="O68">
        <v>27.7</v>
      </c>
      <c r="P68">
        <v>22.2</v>
      </c>
      <c r="Q68">
        <v>19.899999999999999</v>
      </c>
      <c r="R68">
        <v>19.3</v>
      </c>
      <c r="S68">
        <v>52.1</v>
      </c>
      <c r="T68">
        <v>8.9</v>
      </c>
      <c r="U68">
        <v>11</v>
      </c>
      <c r="V68">
        <v>11.8</v>
      </c>
      <c r="W68">
        <v>13.8</v>
      </c>
      <c r="X68">
        <v>31.4</v>
      </c>
      <c r="Y68">
        <v>32.4</v>
      </c>
      <c r="Z68">
        <v>20.9</v>
      </c>
      <c r="AA68">
        <v>10.3</v>
      </c>
      <c r="AB68">
        <v>5</v>
      </c>
      <c r="AC68">
        <v>14.4</v>
      </c>
      <c r="AD68">
        <v>33.6</v>
      </c>
      <c r="AE68">
        <v>29.4</v>
      </c>
      <c r="AF68">
        <v>22.6</v>
      </c>
      <c r="AG68">
        <v>40.700000000000003</v>
      </c>
      <c r="AH68">
        <v>59.3</v>
      </c>
      <c r="AI68">
        <v>65.8</v>
      </c>
      <c r="AJ68">
        <v>34.200000000000003</v>
      </c>
      <c r="AK68">
        <v>46</v>
      </c>
      <c r="AL68">
        <v>42.7</v>
      </c>
      <c r="AM68">
        <v>35.700000000000003</v>
      </c>
      <c r="AN68" t="s">
        <v>94</v>
      </c>
      <c r="AO68">
        <v>71.599999999999994</v>
      </c>
      <c r="AP68">
        <v>27.2</v>
      </c>
      <c r="AQ68">
        <v>21.5</v>
      </c>
      <c r="AR68">
        <v>63.9</v>
      </c>
      <c r="AS68" t="s">
        <v>56</v>
      </c>
      <c r="AT68" t="s">
        <v>55</v>
      </c>
      <c r="AU68" t="s">
        <v>74</v>
      </c>
      <c r="AV68">
        <v>4</v>
      </c>
      <c r="AW68">
        <v>0.39</v>
      </c>
    </row>
    <row r="69" spans="1:49" x14ac:dyDescent="0.25">
      <c r="A69" t="s">
        <v>91</v>
      </c>
      <c r="B69" t="s">
        <v>92</v>
      </c>
      <c r="C69" t="s">
        <v>51</v>
      </c>
      <c r="D69" t="s">
        <v>93</v>
      </c>
      <c r="E69">
        <v>2025</v>
      </c>
      <c r="F69">
        <v>3</v>
      </c>
      <c r="G69" t="s">
        <v>59</v>
      </c>
      <c r="H69">
        <v>17058</v>
      </c>
      <c r="I69">
        <v>47206</v>
      </c>
      <c r="J69">
        <v>14682</v>
      </c>
      <c r="K69">
        <v>0.23</v>
      </c>
      <c r="L69">
        <v>46.3</v>
      </c>
      <c r="M69">
        <v>34.5</v>
      </c>
      <c r="N69">
        <v>41.4</v>
      </c>
      <c r="O69">
        <v>28.9</v>
      </c>
      <c r="P69">
        <v>24.4</v>
      </c>
      <c r="Q69">
        <v>21.2</v>
      </c>
      <c r="R69">
        <v>17</v>
      </c>
      <c r="S69">
        <v>50.7</v>
      </c>
      <c r="T69">
        <v>7.3</v>
      </c>
      <c r="U69">
        <v>11.7</v>
      </c>
      <c r="V69">
        <v>9.6999999999999993</v>
      </c>
      <c r="W69">
        <v>11.7</v>
      </c>
      <c r="X69">
        <v>32.4</v>
      </c>
      <c r="Y69">
        <v>30.4</v>
      </c>
      <c r="Z69">
        <v>23</v>
      </c>
      <c r="AA69">
        <v>9.1999999999999993</v>
      </c>
      <c r="AB69">
        <v>5</v>
      </c>
      <c r="AC69">
        <v>14.7</v>
      </c>
      <c r="AD69">
        <v>33.4</v>
      </c>
      <c r="AE69">
        <v>27.7</v>
      </c>
      <c r="AF69">
        <v>24.2</v>
      </c>
      <c r="AG69">
        <v>44.4</v>
      </c>
      <c r="AH69">
        <v>55.6</v>
      </c>
      <c r="AI69">
        <v>68.5</v>
      </c>
      <c r="AJ69">
        <v>31.5</v>
      </c>
      <c r="AK69">
        <v>42.2</v>
      </c>
      <c r="AL69">
        <v>45.1</v>
      </c>
      <c r="AM69">
        <v>42.1</v>
      </c>
      <c r="AN69" t="s">
        <v>94</v>
      </c>
      <c r="AO69">
        <v>74.8</v>
      </c>
      <c r="AP69">
        <v>31.7</v>
      </c>
      <c r="AQ69">
        <v>25.2</v>
      </c>
      <c r="AR69">
        <v>67.400000000000006</v>
      </c>
      <c r="AS69" t="s">
        <v>56</v>
      </c>
      <c r="AT69" t="s">
        <v>55</v>
      </c>
      <c r="AU69" t="s">
        <v>74</v>
      </c>
      <c r="AV69">
        <v>4.0999999999999996</v>
      </c>
      <c r="AW69">
        <v>0.38</v>
      </c>
    </row>
    <row r="70" spans="1:49" x14ac:dyDescent="0.25">
      <c r="A70" t="s">
        <v>91</v>
      </c>
      <c r="B70" t="s">
        <v>92</v>
      </c>
      <c r="C70" t="s">
        <v>51</v>
      </c>
      <c r="D70" t="s">
        <v>93</v>
      </c>
      <c r="E70">
        <v>2025</v>
      </c>
      <c r="F70">
        <v>4</v>
      </c>
      <c r="G70" t="s">
        <v>60</v>
      </c>
      <c r="H70">
        <v>17467</v>
      </c>
      <c r="I70">
        <v>64673</v>
      </c>
      <c r="J70">
        <v>15221</v>
      </c>
      <c r="K70">
        <v>0.31</v>
      </c>
      <c r="L70">
        <v>45.8</v>
      </c>
      <c r="M70">
        <v>33.4</v>
      </c>
      <c r="N70">
        <v>39.299999999999997</v>
      </c>
      <c r="O70">
        <v>29.1</v>
      </c>
      <c r="P70">
        <v>24.1</v>
      </c>
      <c r="Q70">
        <v>21.1</v>
      </c>
      <c r="R70">
        <v>17.7</v>
      </c>
      <c r="S70">
        <v>37.299999999999997</v>
      </c>
      <c r="T70">
        <v>8.4</v>
      </c>
      <c r="U70">
        <v>10.5</v>
      </c>
      <c r="V70">
        <v>12</v>
      </c>
      <c r="W70">
        <v>12.3</v>
      </c>
      <c r="X70">
        <v>30</v>
      </c>
      <c r="Y70">
        <v>31.2</v>
      </c>
      <c r="Z70">
        <v>23.1</v>
      </c>
      <c r="AA70">
        <v>10.7</v>
      </c>
      <c r="AB70">
        <v>5</v>
      </c>
      <c r="AC70">
        <v>14.4</v>
      </c>
      <c r="AD70">
        <v>32.5</v>
      </c>
      <c r="AE70">
        <v>27.6</v>
      </c>
      <c r="AF70">
        <v>25.6</v>
      </c>
      <c r="AG70">
        <v>44.1</v>
      </c>
      <c r="AH70">
        <v>55.9</v>
      </c>
      <c r="AI70">
        <v>68.099999999999994</v>
      </c>
      <c r="AJ70">
        <v>31.9</v>
      </c>
      <c r="AK70">
        <v>45.5</v>
      </c>
      <c r="AL70">
        <v>43.4</v>
      </c>
      <c r="AM70">
        <v>39.4</v>
      </c>
      <c r="AN70" t="s">
        <v>94</v>
      </c>
      <c r="AO70">
        <v>70.900000000000006</v>
      </c>
      <c r="AP70">
        <v>25.1</v>
      </c>
      <c r="AQ70">
        <v>31.9</v>
      </c>
      <c r="AR70">
        <v>64.400000000000006</v>
      </c>
      <c r="AS70" t="s">
        <v>56</v>
      </c>
      <c r="AT70" t="s">
        <v>55</v>
      </c>
      <c r="AU70" t="s">
        <v>74</v>
      </c>
      <c r="AV70">
        <v>3.6</v>
      </c>
      <c r="AW70">
        <v>0.35</v>
      </c>
    </row>
    <row r="71" spans="1:49" x14ac:dyDescent="0.25">
      <c r="A71" t="s">
        <v>91</v>
      </c>
      <c r="B71" t="s">
        <v>92</v>
      </c>
      <c r="C71" t="s">
        <v>51</v>
      </c>
      <c r="D71" t="s">
        <v>93</v>
      </c>
      <c r="E71">
        <v>2025</v>
      </c>
      <c r="F71">
        <v>5</v>
      </c>
      <c r="G71" t="s">
        <v>61</v>
      </c>
      <c r="H71">
        <v>18795</v>
      </c>
      <c r="I71">
        <v>83468</v>
      </c>
      <c r="J71">
        <v>15845</v>
      </c>
      <c r="K71">
        <v>0.19</v>
      </c>
      <c r="L71">
        <v>44.6</v>
      </c>
      <c r="M71">
        <v>36.1</v>
      </c>
      <c r="N71">
        <v>38.1</v>
      </c>
      <c r="O71">
        <v>30</v>
      </c>
      <c r="P71">
        <v>23.5</v>
      </c>
      <c r="Q71">
        <v>19.5</v>
      </c>
      <c r="R71">
        <v>19.3</v>
      </c>
      <c r="S71">
        <v>37.200000000000003</v>
      </c>
      <c r="T71">
        <v>10</v>
      </c>
      <c r="U71">
        <v>11</v>
      </c>
      <c r="V71">
        <v>12</v>
      </c>
      <c r="W71">
        <v>12.7</v>
      </c>
      <c r="X71">
        <v>35.700000000000003</v>
      </c>
      <c r="Y71">
        <v>27.6</v>
      </c>
      <c r="Z71">
        <v>23.7</v>
      </c>
      <c r="AA71">
        <v>10.9</v>
      </c>
      <c r="AB71">
        <v>2</v>
      </c>
      <c r="AC71">
        <v>16.3</v>
      </c>
      <c r="AD71">
        <v>32</v>
      </c>
      <c r="AE71">
        <v>28.7</v>
      </c>
      <c r="AF71">
        <v>22.9</v>
      </c>
      <c r="AG71">
        <v>40.9</v>
      </c>
      <c r="AH71">
        <v>59.1</v>
      </c>
      <c r="AI71">
        <v>67.5</v>
      </c>
      <c r="AJ71">
        <v>32.5</v>
      </c>
      <c r="AK71">
        <v>42.4</v>
      </c>
      <c r="AL71">
        <v>44.6</v>
      </c>
      <c r="AM71">
        <v>36.799999999999997</v>
      </c>
      <c r="AN71" t="s">
        <v>94</v>
      </c>
      <c r="AO71">
        <v>72.3</v>
      </c>
      <c r="AP71">
        <v>32.700000000000003</v>
      </c>
      <c r="AQ71">
        <v>30</v>
      </c>
      <c r="AR71">
        <v>64.2</v>
      </c>
      <c r="AS71" t="s">
        <v>56</v>
      </c>
      <c r="AT71" t="s">
        <v>55</v>
      </c>
      <c r="AU71" t="s">
        <v>74</v>
      </c>
      <c r="AV71">
        <v>3.7</v>
      </c>
      <c r="AW71">
        <v>0.33</v>
      </c>
    </row>
    <row r="72" spans="1:49" x14ac:dyDescent="0.25">
      <c r="A72" t="s">
        <v>91</v>
      </c>
      <c r="B72" t="s">
        <v>92</v>
      </c>
      <c r="C72" t="s">
        <v>51</v>
      </c>
      <c r="D72" t="s">
        <v>93</v>
      </c>
      <c r="E72">
        <v>2025</v>
      </c>
      <c r="F72">
        <v>6</v>
      </c>
      <c r="G72" t="s">
        <v>62</v>
      </c>
      <c r="H72">
        <v>17706</v>
      </c>
      <c r="I72">
        <v>101174</v>
      </c>
      <c r="J72">
        <v>15545</v>
      </c>
      <c r="K72">
        <v>0.26</v>
      </c>
      <c r="L72">
        <v>45.5</v>
      </c>
      <c r="M72">
        <v>34.4</v>
      </c>
      <c r="N72">
        <v>39.9</v>
      </c>
      <c r="O72">
        <v>29.8</v>
      </c>
      <c r="P72">
        <v>24.1</v>
      </c>
      <c r="Q72">
        <v>19.899999999999999</v>
      </c>
      <c r="R72">
        <v>19.600000000000001</v>
      </c>
      <c r="S72">
        <v>40.700000000000003</v>
      </c>
      <c r="T72">
        <v>9</v>
      </c>
      <c r="U72">
        <v>11.8</v>
      </c>
      <c r="V72">
        <v>11.2</v>
      </c>
      <c r="W72">
        <v>11.6</v>
      </c>
      <c r="X72">
        <v>30.9</v>
      </c>
      <c r="Y72">
        <v>30.8</v>
      </c>
      <c r="Z72">
        <v>23.2</v>
      </c>
      <c r="AA72">
        <v>10.1</v>
      </c>
      <c r="AB72">
        <v>5</v>
      </c>
      <c r="AC72">
        <v>19.8</v>
      </c>
      <c r="AD72">
        <v>35.5</v>
      </c>
      <c r="AE72">
        <v>29.6</v>
      </c>
      <c r="AF72">
        <v>15.1</v>
      </c>
      <c r="AG72">
        <v>43.2</v>
      </c>
      <c r="AH72">
        <v>56.8</v>
      </c>
      <c r="AI72">
        <v>70.7</v>
      </c>
      <c r="AJ72">
        <v>29.3</v>
      </c>
      <c r="AK72">
        <v>42.2</v>
      </c>
      <c r="AL72">
        <v>50.8</v>
      </c>
      <c r="AM72">
        <v>43.5</v>
      </c>
      <c r="AN72" t="s">
        <v>94</v>
      </c>
      <c r="AO72">
        <v>69</v>
      </c>
      <c r="AP72">
        <v>33.1</v>
      </c>
      <c r="AQ72">
        <v>21.5</v>
      </c>
      <c r="AR72">
        <v>69.099999999999994</v>
      </c>
      <c r="AS72" t="s">
        <v>56</v>
      </c>
      <c r="AT72" t="s">
        <v>55</v>
      </c>
      <c r="AU72" t="s">
        <v>74</v>
      </c>
      <c r="AV72">
        <v>3.8</v>
      </c>
      <c r="AW72">
        <v>0.35</v>
      </c>
    </row>
    <row r="73" spans="1:49" x14ac:dyDescent="0.25">
      <c r="A73" t="s">
        <v>91</v>
      </c>
      <c r="B73" t="s">
        <v>92</v>
      </c>
      <c r="C73" t="s">
        <v>51</v>
      </c>
      <c r="D73" t="s">
        <v>93</v>
      </c>
      <c r="E73">
        <v>2025</v>
      </c>
      <c r="F73">
        <v>7</v>
      </c>
      <c r="G73" t="s">
        <v>63</v>
      </c>
      <c r="H73">
        <v>20751</v>
      </c>
      <c r="I73">
        <v>121925</v>
      </c>
      <c r="J73">
        <v>17617</v>
      </c>
      <c r="K73">
        <v>0.3</v>
      </c>
      <c r="L73">
        <v>46.3</v>
      </c>
      <c r="M73">
        <v>35.9</v>
      </c>
      <c r="N73">
        <v>39.1</v>
      </c>
      <c r="O73">
        <v>30.6</v>
      </c>
      <c r="P73">
        <v>24</v>
      </c>
      <c r="Q73">
        <v>20.3</v>
      </c>
      <c r="R73">
        <v>18.100000000000001</v>
      </c>
      <c r="S73">
        <v>39.1</v>
      </c>
      <c r="T73">
        <v>9.6999999999999993</v>
      </c>
      <c r="U73">
        <v>13</v>
      </c>
      <c r="V73">
        <v>10.5</v>
      </c>
      <c r="W73">
        <v>12.9</v>
      </c>
      <c r="X73">
        <v>33.4</v>
      </c>
      <c r="Y73">
        <v>32.299999999999997</v>
      </c>
      <c r="Z73">
        <v>19.8</v>
      </c>
      <c r="AA73">
        <v>9.5</v>
      </c>
      <c r="AB73">
        <v>5</v>
      </c>
      <c r="AC73">
        <v>19.100000000000001</v>
      </c>
      <c r="AD73">
        <v>32.6</v>
      </c>
      <c r="AE73">
        <v>30.2</v>
      </c>
      <c r="AF73">
        <v>18</v>
      </c>
      <c r="AG73">
        <v>45.4</v>
      </c>
      <c r="AH73">
        <v>54.6</v>
      </c>
      <c r="AI73">
        <v>62.6</v>
      </c>
      <c r="AJ73">
        <v>37.4</v>
      </c>
      <c r="AK73">
        <v>47.4</v>
      </c>
      <c r="AL73">
        <v>42.2</v>
      </c>
      <c r="AM73">
        <v>39.299999999999997</v>
      </c>
      <c r="AN73" t="s">
        <v>94</v>
      </c>
      <c r="AO73">
        <v>75.099999999999994</v>
      </c>
      <c r="AP73">
        <v>28.3</v>
      </c>
      <c r="AQ73">
        <v>26.1</v>
      </c>
      <c r="AR73">
        <v>66.8</v>
      </c>
      <c r="AS73" t="s">
        <v>56</v>
      </c>
      <c r="AT73" t="s">
        <v>55</v>
      </c>
      <c r="AU73" t="s">
        <v>74</v>
      </c>
      <c r="AV73">
        <v>4.4000000000000004</v>
      </c>
      <c r="AW73">
        <v>0.37</v>
      </c>
    </row>
    <row r="74" spans="1:49" x14ac:dyDescent="0.25">
      <c r="A74" t="s">
        <v>91</v>
      </c>
      <c r="B74" t="s">
        <v>92</v>
      </c>
      <c r="C74" t="s">
        <v>51</v>
      </c>
      <c r="D74" t="s">
        <v>93</v>
      </c>
      <c r="E74">
        <v>2025</v>
      </c>
      <c r="F74">
        <v>8</v>
      </c>
      <c r="G74" t="s">
        <v>64</v>
      </c>
      <c r="H74">
        <v>20775</v>
      </c>
      <c r="I74">
        <v>142700</v>
      </c>
      <c r="J74">
        <v>17203</v>
      </c>
      <c r="K74">
        <v>0.22</v>
      </c>
      <c r="L74">
        <v>45.6</v>
      </c>
      <c r="M74">
        <v>35.799999999999997</v>
      </c>
      <c r="N74">
        <v>39.299999999999997</v>
      </c>
      <c r="O74">
        <v>31.7</v>
      </c>
      <c r="P74">
        <v>22.9</v>
      </c>
      <c r="Q74">
        <v>22.3</v>
      </c>
      <c r="R74">
        <v>18.600000000000001</v>
      </c>
      <c r="S74">
        <v>41</v>
      </c>
      <c r="T74">
        <v>8</v>
      </c>
      <c r="U74">
        <v>10.1</v>
      </c>
      <c r="V74">
        <v>11.5</v>
      </c>
      <c r="W74">
        <v>12.9</v>
      </c>
      <c r="X74">
        <v>29.3</v>
      </c>
      <c r="Y74">
        <v>30.6</v>
      </c>
      <c r="Z74">
        <v>22.7</v>
      </c>
      <c r="AA74">
        <v>12.3</v>
      </c>
      <c r="AB74">
        <v>5</v>
      </c>
      <c r="AC74">
        <v>18.600000000000001</v>
      </c>
      <c r="AD74">
        <v>35.1</v>
      </c>
      <c r="AE74">
        <v>29.1</v>
      </c>
      <c r="AF74">
        <v>17.3</v>
      </c>
      <c r="AG74">
        <v>40.5</v>
      </c>
      <c r="AH74">
        <v>59.5</v>
      </c>
      <c r="AI74">
        <v>66.900000000000006</v>
      </c>
      <c r="AJ74">
        <v>33.1</v>
      </c>
      <c r="AK74">
        <v>42.8</v>
      </c>
      <c r="AL74">
        <v>43.1</v>
      </c>
      <c r="AM74">
        <v>42.3</v>
      </c>
      <c r="AN74" t="s">
        <v>94</v>
      </c>
      <c r="AO74">
        <v>68.599999999999994</v>
      </c>
      <c r="AP74">
        <v>27.7</v>
      </c>
      <c r="AQ74">
        <v>24.9</v>
      </c>
      <c r="AR74">
        <v>58.9</v>
      </c>
      <c r="AS74" t="s">
        <v>56</v>
      </c>
      <c r="AT74" t="s">
        <v>55</v>
      </c>
      <c r="AU74" t="s">
        <v>74</v>
      </c>
      <c r="AV74">
        <v>4.7</v>
      </c>
      <c r="AW74">
        <v>0.31</v>
      </c>
    </row>
    <row r="75" spans="1:49" x14ac:dyDescent="0.25">
      <c r="A75" t="s">
        <v>91</v>
      </c>
      <c r="B75" t="s">
        <v>92</v>
      </c>
      <c r="C75" t="s">
        <v>51</v>
      </c>
      <c r="D75" t="s">
        <v>93</v>
      </c>
      <c r="E75">
        <v>2025</v>
      </c>
      <c r="F75">
        <v>9</v>
      </c>
      <c r="G75" t="s">
        <v>65</v>
      </c>
      <c r="H75">
        <v>22572</v>
      </c>
      <c r="I75">
        <v>165272</v>
      </c>
      <c r="J75">
        <v>19216</v>
      </c>
      <c r="K75">
        <v>0.22</v>
      </c>
      <c r="L75">
        <v>44.7</v>
      </c>
      <c r="M75">
        <v>36.4</v>
      </c>
      <c r="N75">
        <v>41.4</v>
      </c>
      <c r="O75">
        <v>28.4</v>
      </c>
      <c r="P75">
        <v>23.6</v>
      </c>
      <c r="Q75">
        <v>19.899999999999999</v>
      </c>
      <c r="R75">
        <v>17.5</v>
      </c>
      <c r="S75">
        <v>38</v>
      </c>
      <c r="T75">
        <v>7.9</v>
      </c>
      <c r="U75">
        <v>12.5</v>
      </c>
      <c r="V75">
        <v>12.1</v>
      </c>
      <c r="W75">
        <v>12.5</v>
      </c>
      <c r="X75">
        <v>32.200000000000003</v>
      </c>
      <c r="Y75">
        <v>30.1</v>
      </c>
      <c r="Z75">
        <v>20.6</v>
      </c>
      <c r="AA75">
        <v>12.2</v>
      </c>
      <c r="AB75">
        <v>5</v>
      </c>
      <c r="AC75">
        <v>19.899999999999999</v>
      </c>
      <c r="AD75">
        <v>33.6</v>
      </c>
      <c r="AE75">
        <v>27.8</v>
      </c>
      <c r="AF75">
        <v>18.7</v>
      </c>
      <c r="AG75">
        <v>43.9</v>
      </c>
      <c r="AH75">
        <v>56.1</v>
      </c>
      <c r="AI75">
        <v>63.2</v>
      </c>
      <c r="AJ75">
        <v>36.799999999999997</v>
      </c>
      <c r="AK75">
        <v>45</v>
      </c>
      <c r="AL75">
        <v>42.7</v>
      </c>
      <c r="AM75">
        <v>41.1</v>
      </c>
      <c r="AN75" t="s">
        <v>94</v>
      </c>
      <c r="AO75">
        <v>75.099999999999994</v>
      </c>
      <c r="AP75">
        <v>29</v>
      </c>
      <c r="AQ75">
        <v>25.4</v>
      </c>
      <c r="AR75">
        <v>66.2</v>
      </c>
      <c r="AS75" t="s">
        <v>56</v>
      </c>
      <c r="AT75" t="s">
        <v>55</v>
      </c>
      <c r="AU75" t="s">
        <v>74</v>
      </c>
      <c r="AV75">
        <v>3.9</v>
      </c>
      <c r="AW75">
        <v>0.37</v>
      </c>
    </row>
    <row r="76" spans="1:49" x14ac:dyDescent="0.25">
      <c r="A76" t="s">
        <v>91</v>
      </c>
      <c r="B76" t="s">
        <v>92</v>
      </c>
      <c r="C76" t="s">
        <v>51</v>
      </c>
      <c r="D76" t="s">
        <v>93</v>
      </c>
      <c r="E76">
        <v>2025</v>
      </c>
      <c r="F76">
        <v>10</v>
      </c>
      <c r="G76" t="s">
        <v>66</v>
      </c>
      <c r="H76">
        <v>22126</v>
      </c>
      <c r="I76">
        <v>187398</v>
      </c>
      <c r="J76">
        <v>19210</v>
      </c>
      <c r="K76">
        <v>0.26</v>
      </c>
      <c r="L76">
        <v>46.1</v>
      </c>
      <c r="M76">
        <v>33</v>
      </c>
      <c r="N76">
        <v>39.799999999999997</v>
      </c>
      <c r="O76">
        <v>30.5</v>
      </c>
      <c r="P76">
        <v>24.8</v>
      </c>
      <c r="Q76">
        <v>18.8</v>
      </c>
      <c r="R76">
        <v>18.5</v>
      </c>
      <c r="S76">
        <v>47.6</v>
      </c>
      <c r="T76">
        <v>9.3000000000000007</v>
      </c>
      <c r="U76">
        <v>11.1</v>
      </c>
      <c r="V76">
        <v>9.3000000000000007</v>
      </c>
      <c r="W76">
        <v>12.7</v>
      </c>
      <c r="X76">
        <v>31.4</v>
      </c>
      <c r="Y76">
        <v>31.1</v>
      </c>
      <c r="Z76">
        <v>19.3</v>
      </c>
      <c r="AA76">
        <v>13.2</v>
      </c>
      <c r="AB76">
        <v>5</v>
      </c>
      <c r="AC76">
        <v>14</v>
      </c>
      <c r="AD76">
        <v>31.5</v>
      </c>
      <c r="AE76">
        <v>29.7</v>
      </c>
      <c r="AF76">
        <v>24.8</v>
      </c>
      <c r="AG76">
        <v>41.9</v>
      </c>
      <c r="AH76">
        <v>58.1</v>
      </c>
      <c r="AI76">
        <v>63</v>
      </c>
      <c r="AJ76">
        <v>37</v>
      </c>
      <c r="AK76">
        <v>46.3</v>
      </c>
      <c r="AL76">
        <v>50.9</v>
      </c>
      <c r="AM76">
        <v>38.9</v>
      </c>
      <c r="AN76" t="s">
        <v>94</v>
      </c>
      <c r="AO76">
        <v>70.900000000000006</v>
      </c>
      <c r="AP76">
        <v>25.8</v>
      </c>
      <c r="AQ76">
        <v>30.1</v>
      </c>
      <c r="AR76">
        <v>62.4</v>
      </c>
      <c r="AS76" t="s">
        <v>56</v>
      </c>
      <c r="AT76" t="s">
        <v>55</v>
      </c>
      <c r="AU76" t="s">
        <v>74</v>
      </c>
      <c r="AV76">
        <v>4.7</v>
      </c>
      <c r="AW76">
        <v>0.34</v>
      </c>
    </row>
    <row r="77" spans="1:49" x14ac:dyDescent="0.25">
      <c r="A77" t="s">
        <v>91</v>
      </c>
      <c r="B77" t="s">
        <v>92</v>
      </c>
      <c r="C77" t="s">
        <v>51</v>
      </c>
      <c r="D77" t="s">
        <v>93</v>
      </c>
      <c r="E77">
        <v>2025</v>
      </c>
      <c r="F77">
        <v>11</v>
      </c>
      <c r="G77" t="s">
        <v>67</v>
      </c>
      <c r="H77">
        <v>23316</v>
      </c>
      <c r="I77">
        <v>210714</v>
      </c>
      <c r="J77">
        <v>19244</v>
      </c>
      <c r="K77">
        <v>0.28000000000000003</v>
      </c>
      <c r="L77">
        <v>46</v>
      </c>
      <c r="M77">
        <v>33.200000000000003</v>
      </c>
      <c r="N77">
        <v>41.7</v>
      </c>
      <c r="O77">
        <v>28.8</v>
      </c>
      <c r="P77">
        <v>24.8</v>
      </c>
      <c r="Q77">
        <v>21.2</v>
      </c>
      <c r="R77">
        <v>18.600000000000001</v>
      </c>
      <c r="S77">
        <v>51.8</v>
      </c>
      <c r="T77">
        <v>9.4</v>
      </c>
      <c r="U77">
        <v>13</v>
      </c>
      <c r="V77">
        <v>11.4</v>
      </c>
      <c r="W77">
        <v>12.5</v>
      </c>
      <c r="X77">
        <v>35</v>
      </c>
      <c r="Y77">
        <v>30.4</v>
      </c>
      <c r="Z77">
        <v>18.8</v>
      </c>
      <c r="AA77">
        <v>10.8</v>
      </c>
      <c r="AB77">
        <v>5</v>
      </c>
      <c r="AC77">
        <v>19.7</v>
      </c>
      <c r="AD77">
        <v>33</v>
      </c>
      <c r="AE77">
        <v>28.2</v>
      </c>
      <c r="AF77">
        <v>19.100000000000001</v>
      </c>
      <c r="AG77">
        <v>42.7</v>
      </c>
      <c r="AH77">
        <v>57.3</v>
      </c>
      <c r="AI77">
        <v>64.099999999999994</v>
      </c>
      <c r="AJ77">
        <v>35.9</v>
      </c>
      <c r="AK77">
        <v>43.3</v>
      </c>
      <c r="AL77">
        <v>50.2</v>
      </c>
      <c r="AM77">
        <v>42.7</v>
      </c>
      <c r="AN77" t="s">
        <v>94</v>
      </c>
      <c r="AO77">
        <v>70.900000000000006</v>
      </c>
      <c r="AP77">
        <v>27.2</v>
      </c>
      <c r="AQ77">
        <v>20.6</v>
      </c>
      <c r="AR77">
        <v>68.7</v>
      </c>
      <c r="AS77" t="s">
        <v>56</v>
      </c>
      <c r="AT77" t="s">
        <v>55</v>
      </c>
      <c r="AU77" t="s">
        <v>74</v>
      </c>
      <c r="AV77">
        <v>3.9</v>
      </c>
      <c r="AW77">
        <v>0.37</v>
      </c>
    </row>
    <row r="78" spans="1:49" x14ac:dyDescent="0.25">
      <c r="A78" t="s">
        <v>91</v>
      </c>
      <c r="B78" t="s">
        <v>92</v>
      </c>
      <c r="C78" t="s">
        <v>51</v>
      </c>
      <c r="D78" t="s">
        <v>93</v>
      </c>
      <c r="E78">
        <v>2025</v>
      </c>
      <c r="F78">
        <v>12</v>
      </c>
      <c r="G78" t="s">
        <v>68</v>
      </c>
      <c r="H78">
        <v>22269</v>
      </c>
      <c r="I78">
        <v>232983</v>
      </c>
      <c r="J78">
        <v>19436</v>
      </c>
      <c r="K78">
        <v>0.21</v>
      </c>
      <c r="L78">
        <v>46.5</v>
      </c>
      <c r="M78">
        <v>34.299999999999997</v>
      </c>
      <c r="N78">
        <v>39.6</v>
      </c>
      <c r="O78">
        <v>31.7</v>
      </c>
      <c r="P78">
        <v>27.5</v>
      </c>
      <c r="Q78">
        <v>19.600000000000001</v>
      </c>
      <c r="R78">
        <v>18.5</v>
      </c>
      <c r="S78">
        <v>50</v>
      </c>
      <c r="T78">
        <v>9.1999999999999993</v>
      </c>
      <c r="U78">
        <v>10.7</v>
      </c>
      <c r="V78">
        <v>12</v>
      </c>
      <c r="W78">
        <v>12.5</v>
      </c>
      <c r="X78">
        <v>31.8</v>
      </c>
      <c r="Y78">
        <v>29.2</v>
      </c>
      <c r="Z78">
        <v>23.6</v>
      </c>
      <c r="AA78">
        <v>10.3</v>
      </c>
      <c r="AB78">
        <v>5</v>
      </c>
      <c r="AC78">
        <v>19</v>
      </c>
      <c r="AD78">
        <v>30.1</v>
      </c>
      <c r="AE78">
        <v>27.9</v>
      </c>
      <c r="AF78">
        <v>23</v>
      </c>
      <c r="AG78">
        <v>42</v>
      </c>
      <c r="AH78">
        <v>58</v>
      </c>
      <c r="AI78">
        <v>62.2</v>
      </c>
      <c r="AJ78">
        <v>37.799999999999997</v>
      </c>
      <c r="AK78">
        <v>44.2</v>
      </c>
      <c r="AL78">
        <v>48</v>
      </c>
      <c r="AM78">
        <v>35.1</v>
      </c>
      <c r="AN78" t="s">
        <v>94</v>
      </c>
      <c r="AO78">
        <v>69</v>
      </c>
      <c r="AP78">
        <v>27.8</v>
      </c>
      <c r="AQ78">
        <v>25.9</v>
      </c>
      <c r="AR78">
        <v>63.7</v>
      </c>
      <c r="AS78" t="s">
        <v>56</v>
      </c>
      <c r="AT78" t="s">
        <v>55</v>
      </c>
      <c r="AU78" t="s">
        <v>74</v>
      </c>
      <c r="AV78">
        <v>4.2</v>
      </c>
      <c r="AW78">
        <v>0.4</v>
      </c>
    </row>
    <row r="79" spans="1:49" x14ac:dyDescent="0.25">
      <c r="A79" t="s">
        <v>91</v>
      </c>
      <c r="B79" t="s">
        <v>92</v>
      </c>
      <c r="C79" t="s">
        <v>51</v>
      </c>
      <c r="D79" t="s">
        <v>93</v>
      </c>
      <c r="E79">
        <v>2026</v>
      </c>
      <c r="F79">
        <v>1</v>
      </c>
      <c r="G79" t="s">
        <v>69</v>
      </c>
      <c r="H79">
        <v>23103</v>
      </c>
      <c r="I79">
        <v>256086</v>
      </c>
      <c r="J79">
        <v>19883</v>
      </c>
      <c r="K79">
        <v>0.22</v>
      </c>
      <c r="L79">
        <v>46.8</v>
      </c>
      <c r="M79">
        <v>34.9</v>
      </c>
      <c r="N79">
        <v>43.1</v>
      </c>
      <c r="O79">
        <v>29.9</v>
      </c>
      <c r="P79">
        <v>25</v>
      </c>
      <c r="Q79">
        <v>21.4</v>
      </c>
      <c r="R79">
        <v>19</v>
      </c>
      <c r="S79">
        <v>49.3</v>
      </c>
      <c r="T79">
        <v>7.9</v>
      </c>
      <c r="U79">
        <v>10.199999999999999</v>
      </c>
      <c r="V79">
        <v>10.199999999999999</v>
      </c>
      <c r="W79">
        <v>13.5</v>
      </c>
      <c r="X79">
        <v>33.799999999999997</v>
      </c>
      <c r="Y79">
        <v>30.5</v>
      </c>
      <c r="Z79">
        <v>20.3</v>
      </c>
      <c r="AA79">
        <v>10.5</v>
      </c>
      <c r="AB79">
        <v>5</v>
      </c>
      <c r="AC79">
        <v>17.899999999999999</v>
      </c>
      <c r="AD79">
        <v>35.799999999999997</v>
      </c>
      <c r="AE79">
        <v>30.2</v>
      </c>
      <c r="AF79">
        <v>16</v>
      </c>
      <c r="AG79">
        <v>40.1</v>
      </c>
      <c r="AH79">
        <v>59.9</v>
      </c>
      <c r="AI79">
        <v>71</v>
      </c>
      <c r="AJ79">
        <v>29</v>
      </c>
      <c r="AK79">
        <v>42.4</v>
      </c>
      <c r="AL79">
        <v>42.7</v>
      </c>
      <c r="AM79">
        <v>37.1</v>
      </c>
      <c r="AN79" t="s">
        <v>94</v>
      </c>
      <c r="AO79">
        <v>74.3</v>
      </c>
      <c r="AP79">
        <v>32.9</v>
      </c>
      <c r="AQ79">
        <v>25.5</v>
      </c>
      <c r="AR79">
        <v>63.6</v>
      </c>
      <c r="AS79" t="s">
        <v>56</v>
      </c>
      <c r="AT79" t="s">
        <v>55</v>
      </c>
      <c r="AU79" t="s">
        <v>74</v>
      </c>
      <c r="AV79">
        <v>3.9</v>
      </c>
      <c r="AW79">
        <v>0.35</v>
      </c>
    </row>
    <row r="80" spans="1:49" x14ac:dyDescent="0.25">
      <c r="A80" t="s">
        <v>95</v>
      </c>
      <c r="B80" t="s">
        <v>96</v>
      </c>
      <c r="C80" t="s">
        <v>51</v>
      </c>
      <c r="D80" t="s">
        <v>84</v>
      </c>
      <c r="E80">
        <v>2025</v>
      </c>
      <c r="F80">
        <v>1</v>
      </c>
      <c r="G80" t="s">
        <v>53</v>
      </c>
      <c r="H80">
        <v>13353</v>
      </c>
      <c r="I80">
        <v>13353</v>
      </c>
      <c r="J80">
        <v>11329</v>
      </c>
      <c r="K80">
        <v>0.19</v>
      </c>
      <c r="L80">
        <v>47.4</v>
      </c>
      <c r="M80">
        <v>39.799999999999997</v>
      </c>
      <c r="N80">
        <v>37.200000000000003</v>
      </c>
      <c r="O80">
        <v>26</v>
      </c>
      <c r="P80">
        <v>21.3</v>
      </c>
      <c r="Q80">
        <v>15.9</v>
      </c>
      <c r="R80">
        <v>14.7</v>
      </c>
      <c r="S80">
        <v>14.1</v>
      </c>
      <c r="T80">
        <v>6.9</v>
      </c>
      <c r="U80">
        <v>10.1</v>
      </c>
      <c r="V80">
        <v>14.3</v>
      </c>
      <c r="W80">
        <v>11.5</v>
      </c>
      <c r="X80">
        <v>30.1</v>
      </c>
      <c r="Y80">
        <v>31.5</v>
      </c>
      <c r="Z80">
        <v>22.5</v>
      </c>
      <c r="AA80">
        <v>10.9</v>
      </c>
      <c r="AB80">
        <v>5</v>
      </c>
      <c r="AC80">
        <v>18</v>
      </c>
      <c r="AD80">
        <v>31.6</v>
      </c>
      <c r="AE80">
        <v>27.7</v>
      </c>
      <c r="AF80">
        <v>22.7</v>
      </c>
      <c r="AG80">
        <v>45.5</v>
      </c>
      <c r="AH80">
        <v>54.5</v>
      </c>
      <c r="AI80">
        <v>64.900000000000006</v>
      </c>
      <c r="AJ80">
        <v>35.1</v>
      </c>
      <c r="AK80">
        <v>41.2</v>
      </c>
      <c r="AL80">
        <v>42.1</v>
      </c>
      <c r="AM80">
        <v>40.700000000000003</v>
      </c>
      <c r="AN80" t="s">
        <v>97</v>
      </c>
      <c r="AO80">
        <v>71.8</v>
      </c>
      <c r="AP80">
        <v>34.5</v>
      </c>
      <c r="AQ80">
        <v>28.5</v>
      </c>
      <c r="AR80">
        <v>58.9</v>
      </c>
      <c r="AS80" t="s">
        <v>98</v>
      </c>
      <c r="AT80" t="s">
        <v>55</v>
      </c>
      <c r="AU80" t="s">
        <v>56</v>
      </c>
      <c r="AV80">
        <v>4.0999999999999996</v>
      </c>
      <c r="AW80">
        <v>0.31</v>
      </c>
    </row>
    <row r="81" spans="1:49" x14ac:dyDescent="0.25">
      <c r="A81" t="s">
        <v>95</v>
      </c>
      <c r="B81" t="s">
        <v>96</v>
      </c>
      <c r="C81" t="s">
        <v>51</v>
      </c>
      <c r="D81" t="s">
        <v>84</v>
      </c>
      <c r="E81">
        <v>2025</v>
      </c>
      <c r="F81">
        <v>2</v>
      </c>
      <c r="G81" t="s">
        <v>58</v>
      </c>
      <c r="H81">
        <v>14846</v>
      </c>
      <c r="I81">
        <v>28199</v>
      </c>
      <c r="J81">
        <v>12645</v>
      </c>
      <c r="K81">
        <v>0.21</v>
      </c>
      <c r="L81">
        <v>46</v>
      </c>
      <c r="M81">
        <v>40.9</v>
      </c>
      <c r="N81">
        <v>34.4</v>
      </c>
      <c r="O81">
        <v>27.3</v>
      </c>
      <c r="P81">
        <v>19.600000000000001</v>
      </c>
      <c r="Q81">
        <v>17.8</v>
      </c>
      <c r="R81">
        <v>14.9</v>
      </c>
      <c r="S81">
        <v>13.1</v>
      </c>
      <c r="T81">
        <v>6.8</v>
      </c>
      <c r="U81">
        <v>11</v>
      </c>
      <c r="V81">
        <v>13</v>
      </c>
      <c r="W81">
        <v>9.9</v>
      </c>
      <c r="X81">
        <v>35.1</v>
      </c>
      <c r="Y81">
        <v>30.2</v>
      </c>
      <c r="Z81">
        <v>22.5</v>
      </c>
      <c r="AA81">
        <v>10.199999999999999</v>
      </c>
      <c r="AB81">
        <v>2</v>
      </c>
      <c r="AC81">
        <v>19.8</v>
      </c>
      <c r="AD81">
        <v>31.2</v>
      </c>
      <c r="AE81">
        <v>30.8</v>
      </c>
      <c r="AF81">
        <v>18.3</v>
      </c>
      <c r="AG81">
        <v>46</v>
      </c>
      <c r="AH81">
        <v>54</v>
      </c>
      <c r="AI81">
        <v>69.099999999999994</v>
      </c>
      <c r="AJ81">
        <v>30.9</v>
      </c>
      <c r="AK81">
        <v>44.7</v>
      </c>
      <c r="AL81">
        <v>42.7</v>
      </c>
      <c r="AM81">
        <v>40.6</v>
      </c>
      <c r="AN81" t="s">
        <v>97</v>
      </c>
      <c r="AO81">
        <v>75.8</v>
      </c>
      <c r="AP81">
        <v>30</v>
      </c>
      <c r="AQ81">
        <v>23.1</v>
      </c>
      <c r="AR81">
        <v>64.099999999999994</v>
      </c>
      <c r="AS81" t="s">
        <v>98</v>
      </c>
      <c r="AT81" t="s">
        <v>55</v>
      </c>
      <c r="AU81" t="s">
        <v>56</v>
      </c>
      <c r="AV81">
        <v>4.8</v>
      </c>
      <c r="AW81">
        <v>0.32</v>
      </c>
    </row>
    <row r="82" spans="1:49" x14ac:dyDescent="0.25">
      <c r="A82" t="s">
        <v>95</v>
      </c>
      <c r="B82" t="s">
        <v>96</v>
      </c>
      <c r="C82" t="s">
        <v>51</v>
      </c>
      <c r="D82" t="s">
        <v>84</v>
      </c>
      <c r="E82">
        <v>2025</v>
      </c>
      <c r="F82">
        <v>3</v>
      </c>
      <c r="G82" t="s">
        <v>59</v>
      </c>
      <c r="H82">
        <v>15514</v>
      </c>
      <c r="I82">
        <v>43713</v>
      </c>
      <c r="J82">
        <v>13566</v>
      </c>
      <c r="K82">
        <v>0.31</v>
      </c>
      <c r="L82">
        <v>47.4</v>
      </c>
      <c r="M82">
        <v>39.5</v>
      </c>
      <c r="N82">
        <v>36.5</v>
      </c>
      <c r="O82">
        <v>25</v>
      </c>
      <c r="P82">
        <v>20.100000000000001</v>
      </c>
      <c r="Q82">
        <v>18.5</v>
      </c>
      <c r="R82">
        <v>14.3</v>
      </c>
      <c r="S82">
        <v>15.4</v>
      </c>
      <c r="T82">
        <v>8.3000000000000007</v>
      </c>
      <c r="U82">
        <v>10.199999999999999</v>
      </c>
      <c r="V82">
        <v>14.1</v>
      </c>
      <c r="W82">
        <v>11.2</v>
      </c>
      <c r="X82">
        <v>30.9</v>
      </c>
      <c r="Y82">
        <v>28.2</v>
      </c>
      <c r="Z82">
        <v>22.3</v>
      </c>
      <c r="AA82">
        <v>13.6</v>
      </c>
      <c r="AB82">
        <v>5</v>
      </c>
      <c r="AC82">
        <v>15.4</v>
      </c>
      <c r="AD82">
        <v>33.799999999999997</v>
      </c>
      <c r="AE82">
        <v>27.1</v>
      </c>
      <c r="AF82">
        <v>23.7</v>
      </c>
      <c r="AG82">
        <v>41.9</v>
      </c>
      <c r="AH82">
        <v>58.1</v>
      </c>
      <c r="AI82">
        <v>70.5</v>
      </c>
      <c r="AJ82">
        <v>29.5</v>
      </c>
      <c r="AK82">
        <v>43.8</v>
      </c>
      <c r="AL82">
        <v>48.6</v>
      </c>
      <c r="AM82">
        <v>36.1</v>
      </c>
      <c r="AN82" t="s">
        <v>97</v>
      </c>
      <c r="AO82">
        <v>73.8</v>
      </c>
      <c r="AP82">
        <v>23.3</v>
      </c>
      <c r="AQ82">
        <v>25.1</v>
      </c>
      <c r="AR82">
        <v>58.4</v>
      </c>
      <c r="AS82" t="s">
        <v>98</v>
      </c>
      <c r="AT82" t="s">
        <v>55</v>
      </c>
      <c r="AU82" t="s">
        <v>56</v>
      </c>
      <c r="AV82">
        <v>3.9</v>
      </c>
      <c r="AW82">
        <v>0.34</v>
      </c>
    </row>
    <row r="83" spans="1:49" x14ac:dyDescent="0.25">
      <c r="A83" t="s">
        <v>95</v>
      </c>
      <c r="B83" t="s">
        <v>96</v>
      </c>
      <c r="C83" t="s">
        <v>51</v>
      </c>
      <c r="D83" t="s">
        <v>84</v>
      </c>
      <c r="E83">
        <v>2025</v>
      </c>
      <c r="F83">
        <v>4</v>
      </c>
      <c r="G83" t="s">
        <v>60</v>
      </c>
      <c r="H83">
        <v>15815</v>
      </c>
      <c r="I83">
        <v>59528</v>
      </c>
      <c r="J83">
        <v>13910</v>
      </c>
      <c r="K83">
        <v>0.19</v>
      </c>
      <c r="L83">
        <v>46.8</v>
      </c>
      <c r="M83">
        <v>38.5</v>
      </c>
      <c r="N83">
        <v>36.700000000000003</v>
      </c>
      <c r="O83">
        <v>28.4</v>
      </c>
      <c r="P83">
        <v>22.4</v>
      </c>
      <c r="Q83">
        <v>17.899999999999999</v>
      </c>
      <c r="R83">
        <v>14.7</v>
      </c>
      <c r="S83">
        <v>15.8</v>
      </c>
      <c r="T83">
        <v>7.1</v>
      </c>
      <c r="U83">
        <v>11.4</v>
      </c>
      <c r="V83">
        <v>13.5</v>
      </c>
      <c r="W83">
        <v>10.9</v>
      </c>
      <c r="X83">
        <v>31.1</v>
      </c>
      <c r="Y83">
        <v>32.700000000000003</v>
      </c>
      <c r="Z83">
        <v>19.8</v>
      </c>
      <c r="AA83">
        <v>11.5</v>
      </c>
      <c r="AB83">
        <v>5</v>
      </c>
      <c r="AC83">
        <v>15.3</v>
      </c>
      <c r="AD83">
        <v>30.2</v>
      </c>
      <c r="AE83">
        <v>26.2</v>
      </c>
      <c r="AF83">
        <v>28.3</v>
      </c>
      <c r="AG83">
        <v>41.1</v>
      </c>
      <c r="AH83">
        <v>58.9</v>
      </c>
      <c r="AI83">
        <v>70.7</v>
      </c>
      <c r="AJ83">
        <v>29.3</v>
      </c>
      <c r="AK83">
        <v>44.6</v>
      </c>
      <c r="AL83">
        <v>47.2</v>
      </c>
      <c r="AM83">
        <v>41.8</v>
      </c>
      <c r="AN83" t="s">
        <v>97</v>
      </c>
      <c r="AO83">
        <v>70.3</v>
      </c>
      <c r="AP83">
        <v>35.299999999999997</v>
      </c>
      <c r="AQ83">
        <v>27</v>
      </c>
      <c r="AR83">
        <v>64.099999999999994</v>
      </c>
      <c r="AS83" t="s">
        <v>98</v>
      </c>
      <c r="AT83" t="s">
        <v>55</v>
      </c>
      <c r="AU83" t="s">
        <v>56</v>
      </c>
      <c r="AV83">
        <v>3.9</v>
      </c>
      <c r="AW83">
        <v>0.34</v>
      </c>
    </row>
    <row r="84" spans="1:49" x14ac:dyDescent="0.25">
      <c r="A84" t="s">
        <v>95</v>
      </c>
      <c r="B84" t="s">
        <v>96</v>
      </c>
      <c r="C84" t="s">
        <v>51</v>
      </c>
      <c r="D84" t="s">
        <v>84</v>
      </c>
      <c r="E84">
        <v>2025</v>
      </c>
      <c r="F84">
        <v>5</v>
      </c>
      <c r="G84" t="s">
        <v>61</v>
      </c>
      <c r="H84">
        <v>16595</v>
      </c>
      <c r="I84">
        <v>76123</v>
      </c>
      <c r="J84">
        <v>14550</v>
      </c>
      <c r="K84">
        <v>0.3</v>
      </c>
      <c r="L84">
        <v>45.8</v>
      </c>
      <c r="M84">
        <v>39.5</v>
      </c>
      <c r="N84">
        <v>35.799999999999997</v>
      </c>
      <c r="O84">
        <v>25.8</v>
      </c>
      <c r="P84">
        <v>21.4</v>
      </c>
      <c r="Q84">
        <v>16.3</v>
      </c>
      <c r="R84">
        <v>14.6</v>
      </c>
      <c r="S84">
        <v>16.5</v>
      </c>
      <c r="T84">
        <v>6.9</v>
      </c>
      <c r="U84">
        <v>9.9</v>
      </c>
      <c r="V84">
        <v>12.6</v>
      </c>
      <c r="W84">
        <v>11.5</v>
      </c>
      <c r="X84">
        <v>31.3</v>
      </c>
      <c r="Y84">
        <v>30.9</v>
      </c>
      <c r="Z84">
        <v>23</v>
      </c>
      <c r="AA84">
        <v>10.7</v>
      </c>
      <c r="AB84">
        <v>4.2</v>
      </c>
      <c r="AC84">
        <v>18.2</v>
      </c>
      <c r="AD84">
        <v>34.6</v>
      </c>
      <c r="AE84">
        <v>29.3</v>
      </c>
      <c r="AF84">
        <v>17.899999999999999</v>
      </c>
      <c r="AG84">
        <v>40.9</v>
      </c>
      <c r="AH84">
        <v>59.1</v>
      </c>
      <c r="AI84">
        <v>70.8</v>
      </c>
      <c r="AJ84">
        <v>29.2</v>
      </c>
      <c r="AK84">
        <v>41</v>
      </c>
      <c r="AL84">
        <v>49.7</v>
      </c>
      <c r="AM84">
        <v>35</v>
      </c>
      <c r="AN84" t="s">
        <v>97</v>
      </c>
      <c r="AO84">
        <v>72.3</v>
      </c>
      <c r="AP84">
        <v>26</v>
      </c>
      <c r="AQ84">
        <v>25.1</v>
      </c>
      <c r="AR84">
        <v>58.5</v>
      </c>
      <c r="AS84" t="s">
        <v>98</v>
      </c>
      <c r="AT84" t="s">
        <v>55</v>
      </c>
      <c r="AU84" t="s">
        <v>56</v>
      </c>
      <c r="AV84">
        <v>4.0999999999999996</v>
      </c>
      <c r="AW84">
        <v>0.35</v>
      </c>
    </row>
    <row r="85" spans="1:49" x14ac:dyDescent="0.25">
      <c r="A85" t="s">
        <v>95</v>
      </c>
      <c r="B85" t="s">
        <v>96</v>
      </c>
      <c r="C85" t="s">
        <v>51</v>
      </c>
      <c r="D85" t="s">
        <v>84</v>
      </c>
      <c r="E85">
        <v>2025</v>
      </c>
      <c r="F85">
        <v>6</v>
      </c>
      <c r="G85" t="s">
        <v>62</v>
      </c>
      <c r="H85">
        <v>15232</v>
      </c>
      <c r="I85">
        <v>91355</v>
      </c>
      <c r="J85">
        <v>13379</v>
      </c>
      <c r="K85">
        <v>0.21</v>
      </c>
      <c r="L85">
        <v>45.4</v>
      </c>
      <c r="M85">
        <v>40.4</v>
      </c>
      <c r="N85">
        <v>34</v>
      </c>
      <c r="O85">
        <v>28.2</v>
      </c>
      <c r="P85">
        <v>23.3</v>
      </c>
      <c r="Q85">
        <v>16.5</v>
      </c>
      <c r="R85">
        <v>15.6</v>
      </c>
      <c r="S85">
        <v>15.6</v>
      </c>
      <c r="T85">
        <v>8.8000000000000007</v>
      </c>
      <c r="U85">
        <v>11</v>
      </c>
      <c r="V85">
        <v>13.3</v>
      </c>
      <c r="W85">
        <v>10</v>
      </c>
      <c r="X85">
        <v>34.5</v>
      </c>
      <c r="Y85">
        <v>27.1</v>
      </c>
      <c r="Z85">
        <v>20.2</v>
      </c>
      <c r="AA85">
        <v>13.5</v>
      </c>
      <c r="AB85">
        <v>4.5999999999999996</v>
      </c>
      <c r="AC85">
        <v>18.8</v>
      </c>
      <c r="AD85">
        <v>35.9</v>
      </c>
      <c r="AE85">
        <v>29.8</v>
      </c>
      <c r="AF85">
        <v>15.5</v>
      </c>
      <c r="AG85">
        <v>42.4</v>
      </c>
      <c r="AH85">
        <v>57.6</v>
      </c>
      <c r="AI85">
        <v>67.900000000000006</v>
      </c>
      <c r="AJ85">
        <v>32.1</v>
      </c>
      <c r="AK85">
        <v>41.3</v>
      </c>
      <c r="AL85">
        <v>49.8</v>
      </c>
      <c r="AM85">
        <v>40.299999999999997</v>
      </c>
      <c r="AN85" t="s">
        <v>97</v>
      </c>
      <c r="AO85">
        <v>73.3</v>
      </c>
      <c r="AP85">
        <v>23.1</v>
      </c>
      <c r="AQ85">
        <v>26.5</v>
      </c>
      <c r="AR85">
        <v>67.900000000000006</v>
      </c>
      <c r="AS85" t="s">
        <v>98</v>
      </c>
      <c r="AT85" t="s">
        <v>55</v>
      </c>
      <c r="AU85" t="s">
        <v>56</v>
      </c>
      <c r="AV85">
        <v>4.7</v>
      </c>
      <c r="AW85">
        <v>0.3</v>
      </c>
    </row>
    <row r="86" spans="1:49" x14ac:dyDescent="0.25">
      <c r="A86" t="s">
        <v>95</v>
      </c>
      <c r="B86" t="s">
        <v>96</v>
      </c>
      <c r="C86" t="s">
        <v>51</v>
      </c>
      <c r="D86" t="s">
        <v>84</v>
      </c>
      <c r="E86">
        <v>2025</v>
      </c>
      <c r="F86">
        <v>7</v>
      </c>
      <c r="G86" t="s">
        <v>63</v>
      </c>
      <c r="H86">
        <v>16546</v>
      </c>
      <c r="I86">
        <v>107901</v>
      </c>
      <c r="J86">
        <v>14164</v>
      </c>
      <c r="K86">
        <v>0.22</v>
      </c>
      <c r="L86">
        <v>46.6</v>
      </c>
      <c r="M86">
        <v>40.4</v>
      </c>
      <c r="N86">
        <v>36.200000000000003</v>
      </c>
      <c r="O86">
        <v>27.6</v>
      </c>
      <c r="P86">
        <v>21.3</v>
      </c>
      <c r="Q86">
        <v>19.3</v>
      </c>
      <c r="R86">
        <v>16.100000000000001</v>
      </c>
      <c r="S86">
        <v>15.8</v>
      </c>
      <c r="T86">
        <v>8.4</v>
      </c>
      <c r="U86">
        <v>11.1</v>
      </c>
      <c r="V86">
        <v>15.2</v>
      </c>
      <c r="W86">
        <v>10.7</v>
      </c>
      <c r="X86">
        <v>34.9</v>
      </c>
      <c r="Y86">
        <v>27.6</v>
      </c>
      <c r="Z86">
        <v>22.8</v>
      </c>
      <c r="AA86">
        <v>10</v>
      </c>
      <c r="AB86">
        <v>4.5999999999999996</v>
      </c>
      <c r="AC86">
        <v>16.100000000000001</v>
      </c>
      <c r="AD86">
        <v>32</v>
      </c>
      <c r="AE86">
        <v>30.9</v>
      </c>
      <c r="AF86">
        <v>21</v>
      </c>
      <c r="AG86">
        <v>45.1</v>
      </c>
      <c r="AH86">
        <v>54.9</v>
      </c>
      <c r="AI86">
        <v>69</v>
      </c>
      <c r="AJ86">
        <v>31</v>
      </c>
      <c r="AK86">
        <v>43</v>
      </c>
      <c r="AL86">
        <v>43.6</v>
      </c>
      <c r="AM86">
        <v>42.1</v>
      </c>
      <c r="AN86" t="s">
        <v>97</v>
      </c>
      <c r="AO86">
        <v>73.8</v>
      </c>
      <c r="AP86">
        <v>29.9</v>
      </c>
      <c r="AQ86">
        <v>31.4</v>
      </c>
      <c r="AR86">
        <v>64.900000000000006</v>
      </c>
      <c r="AS86" t="s">
        <v>98</v>
      </c>
      <c r="AT86" t="s">
        <v>55</v>
      </c>
      <c r="AU86" t="s">
        <v>56</v>
      </c>
      <c r="AV86">
        <v>4.5</v>
      </c>
      <c r="AW86">
        <v>0.34</v>
      </c>
    </row>
    <row r="87" spans="1:49" x14ac:dyDescent="0.25">
      <c r="A87" t="s">
        <v>95</v>
      </c>
      <c r="B87" t="s">
        <v>96</v>
      </c>
      <c r="C87" t="s">
        <v>51</v>
      </c>
      <c r="D87" t="s">
        <v>84</v>
      </c>
      <c r="E87">
        <v>2025</v>
      </c>
      <c r="F87">
        <v>8</v>
      </c>
      <c r="G87" t="s">
        <v>64</v>
      </c>
      <c r="H87">
        <v>16616</v>
      </c>
      <c r="I87">
        <v>124517</v>
      </c>
      <c r="J87">
        <v>14461</v>
      </c>
      <c r="K87">
        <v>0.18</v>
      </c>
      <c r="L87">
        <v>46.6</v>
      </c>
      <c r="M87">
        <v>40.700000000000003</v>
      </c>
      <c r="N87">
        <v>35.200000000000003</v>
      </c>
      <c r="O87">
        <v>28.7</v>
      </c>
      <c r="P87">
        <v>23.5</v>
      </c>
      <c r="Q87">
        <v>17.8</v>
      </c>
      <c r="R87">
        <v>16.5</v>
      </c>
      <c r="S87">
        <v>13.4</v>
      </c>
      <c r="T87">
        <v>7.8</v>
      </c>
      <c r="U87">
        <v>11.9</v>
      </c>
      <c r="V87">
        <v>15</v>
      </c>
      <c r="W87">
        <v>9.6999999999999993</v>
      </c>
      <c r="X87">
        <v>33.299999999999997</v>
      </c>
      <c r="Y87">
        <v>29</v>
      </c>
      <c r="Z87">
        <v>19.399999999999999</v>
      </c>
      <c r="AA87">
        <v>13.3</v>
      </c>
      <c r="AB87">
        <v>5</v>
      </c>
      <c r="AC87">
        <v>14.9</v>
      </c>
      <c r="AD87">
        <v>31.9</v>
      </c>
      <c r="AE87">
        <v>27.5</v>
      </c>
      <c r="AF87">
        <v>25.7</v>
      </c>
      <c r="AG87">
        <v>45.2</v>
      </c>
      <c r="AH87">
        <v>54.8</v>
      </c>
      <c r="AI87">
        <v>68.7</v>
      </c>
      <c r="AJ87">
        <v>31.3</v>
      </c>
      <c r="AK87">
        <v>46.7</v>
      </c>
      <c r="AL87">
        <v>51.1</v>
      </c>
      <c r="AM87">
        <v>35.1</v>
      </c>
      <c r="AN87" t="s">
        <v>97</v>
      </c>
      <c r="AO87">
        <v>74.400000000000006</v>
      </c>
      <c r="AP87">
        <v>25.5</v>
      </c>
      <c r="AQ87">
        <v>27.5</v>
      </c>
      <c r="AR87">
        <v>66</v>
      </c>
      <c r="AS87" t="s">
        <v>98</v>
      </c>
      <c r="AT87" t="s">
        <v>55</v>
      </c>
      <c r="AU87" t="s">
        <v>56</v>
      </c>
      <c r="AV87">
        <v>4.4000000000000004</v>
      </c>
      <c r="AW87">
        <v>0.31</v>
      </c>
    </row>
    <row r="88" spans="1:49" x14ac:dyDescent="0.25">
      <c r="A88" t="s">
        <v>95</v>
      </c>
      <c r="B88" t="s">
        <v>96</v>
      </c>
      <c r="C88" t="s">
        <v>51</v>
      </c>
      <c r="D88" t="s">
        <v>84</v>
      </c>
      <c r="E88">
        <v>2025</v>
      </c>
      <c r="F88">
        <v>9</v>
      </c>
      <c r="G88" t="s">
        <v>65</v>
      </c>
      <c r="H88">
        <v>18919</v>
      </c>
      <c r="I88">
        <v>143436</v>
      </c>
      <c r="J88">
        <v>15840</v>
      </c>
      <c r="K88">
        <v>0.22</v>
      </c>
      <c r="L88">
        <v>45.6</v>
      </c>
      <c r="M88">
        <v>41.3</v>
      </c>
      <c r="N88">
        <v>37.299999999999997</v>
      </c>
      <c r="O88">
        <v>27.8</v>
      </c>
      <c r="P88">
        <v>20.9</v>
      </c>
      <c r="Q88">
        <v>18.7</v>
      </c>
      <c r="R88">
        <v>14.5</v>
      </c>
      <c r="S88">
        <v>14.6</v>
      </c>
      <c r="T88">
        <v>8.4</v>
      </c>
      <c r="U88">
        <v>10.7</v>
      </c>
      <c r="V88">
        <v>12.6</v>
      </c>
      <c r="W88">
        <v>10.3</v>
      </c>
      <c r="X88">
        <v>33.200000000000003</v>
      </c>
      <c r="Y88">
        <v>30</v>
      </c>
      <c r="Z88">
        <v>21.8</v>
      </c>
      <c r="AA88">
        <v>10</v>
      </c>
      <c r="AB88">
        <v>5</v>
      </c>
      <c r="AC88">
        <v>16.5</v>
      </c>
      <c r="AD88">
        <v>34.5</v>
      </c>
      <c r="AE88">
        <v>26.5</v>
      </c>
      <c r="AF88">
        <v>22.5</v>
      </c>
      <c r="AG88">
        <v>41.7</v>
      </c>
      <c r="AH88">
        <v>58.3</v>
      </c>
      <c r="AI88">
        <v>64.8</v>
      </c>
      <c r="AJ88">
        <v>35.200000000000003</v>
      </c>
      <c r="AK88">
        <v>41.4</v>
      </c>
      <c r="AL88">
        <v>51.7</v>
      </c>
      <c r="AM88">
        <v>36</v>
      </c>
      <c r="AN88" t="s">
        <v>97</v>
      </c>
      <c r="AO88">
        <v>71.5</v>
      </c>
      <c r="AP88">
        <v>35.700000000000003</v>
      </c>
      <c r="AQ88">
        <v>20.8</v>
      </c>
      <c r="AR88">
        <v>65.3</v>
      </c>
      <c r="AS88" t="s">
        <v>98</v>
      </c>
      <c r="AT88" t="s">
        <v>55</v>
      </c>
      <c r="AU88" t="s">
        <v>56</v>
      </c>
      <c r="AV88">
        <v>4.0999999999999996</v>
      </c>
      <c r="AW88">
        <v>0.37</v>
      </c>
    </row>
    <row r="89" spans="1:49" x14ac:dyDescent="0.25">
      <c r="A89" t="s">
        <v>95</v>
      </c>
      <c r="B89" t="s">
        <v>96</v>
      </c>
      <c r="C89" t="s">
        <v>51</v>
      </c>
      <c r="D89" t="s">
        <v>84</v>
      </c>
      <c r="E89">
        <v>2025</v>
      </c>
      <c r="F89">
        <v>10</v>
      </c>
      <c r="G89" t="s">
        <v>66</v>
      </c>
      <c r="H89">
        <v>19387</v>
      </c>
      <c r="I89">
        <v>162823</v>
      </c>
      <c r="J89">
        <v>16389</v>
      </c>
      <c r="K89">
        <v>0.23</v>
      </c>
      <c r="L89">
        <v>45.7</v>
      </c>
      <c r="M89">
        <v>37.9</v>
      </c>
      <c r="N89">
        <v>36.5</v>
      </c>
      <c r="O89">
        <v>27.6</v>
      </c>
      <c r="P89">
        <v>22.1</v>
      </c>
      <c r="Q89">
        <v>18.2</v>
      </c>
      <c r="R89">
        <v>16.5</v>
      </c>
      <c r="S89">
        <v>15</v>
      </c>
      <c r="T89">
        <v>6.5</v>
      </c>
      <c r="U89">
        <v>9.9</v>
      </c>
      <c r="V89">
        <v>15.3</v>
      </c>
      <c r="W89">
        <v>10.1</v>
      </c>
      <c r="X89">
        <v>32.9</v>
      </c>
      <c r="Y89">
        <v>29.8</v>
      </c>
      <c r="Z89">
        <v>22</v>
      </c>
      <c r="AA89">
        <v>10.3</v>
      </c>
      <c r="AB89">
        <v>5</v>
      </c>
      <c r="AC89">
        <v>14.1</v>
      </c>
      <c r="AD89">
        <v>35.799999999999997</v>
      </c>
      <c r="AE89">
        <v>27.3</v>
      </c>
      <c r="AF89">
        <v>22.9</v>
      </c>
      <c r="AG89">
        <v>44.1</v>
      </c>
      <c r="AH89">
        <v>55.9</v>
      </c>
      <c r="AI89">
        <v>69.099999999999994</v>
      </c>
      <c r="AJ89">
        <v>30.9</v>
      </c>
      <c r="AK89">
        <v>46.9</v>
      </c>
      <c r="AL89">
        <v>51.5</v>
      </c>
      <c r="AM89">
        <v>36</v>
      </c>
      <c r="AN89" t="s">
        <v>97</v>
      </c>
      <c r="AO89">
        <v>72.900000000000006</v>
      </c>
      <c r="AP89">
        <v>26.4</v>
      </c>
      <c r="AQ89">
        <v>23.3</v>
      </c>
      <c r="AR89">
        <v>66.400000000000006</v>
      </c>
      <c r="AS89" t="s">
        <v>98</v>
      </c>
      <c r="AT89" t="s">
        <v>55</v>
      </c>
      <c r="AU89" t="s">
        <v>56</v>
      </c>
      <c r="AV89">
        <v>3.8</v>
      </c>
      <c r="AW89">
        <v>0.39</v>
      </c>
    </row>
    <row r="90" spans="1:49" x14ac:dyDescent="0.25">
      <c r="A90" t="s">
        <v>95</v>
      </c>
      <c r="B90" t="s">
        <v>96</v>
      </c>
      <c r="C90" t="s">
        <v>51</v>
      </c>
      <c r="D90" t="s">
        <v>84</v>
      </c>
      <c r="E90">
        <v>2025</v>
      </c>
      <c r="F90">
        <v>11</v>
      </c>
      <c r="G90" t="s">
        <v>67</v>
      </c>
      <c r="H90">
        <v>20098</v>
      </c>
      <c r="I90">
        <v>182921</v>
      </c>
      <c r="J90">
        <v>17545</v>
      </c>
      <c r="K90">
        <v>0.21</v>
      </c>
      <c r="L90">
        <v>46.3</v>
      </c>
      <c r="M90">
        <v>41.4</v>
      </c>
      <c r="N90">
        <v>36.299999999999997</v>
      </c>
      <c r="O90">
        <v>26.9</v>
      </c>
      <c r="P90">
        <v>23.7</v>
      </c>
      <c r="Q90">
        <v>16.600000000000001</v>
      </c>
      <c r="R90">
        <v>15</v>
      </c>
      <c r="S90">
        <v>16.8</v>
      </c>
      <c r="T90">
        <v>7.5</v>
      </c>
      <c r="U90">
        <v>12.2</v>
      </c>
      <c r="V90">
        <v>13</v>
      </c>
      <c r="W90">
        <v>11.2</v>
      </c>
      <c r="X90">
        <v>32.799999999999997</v>
      </c>
      <c r="Y90">
        <v>29.1</v>
      </c>
      <c r="Z90">
        <v>23.6</v>
      </c>
      <c r="AA90">
        <v>9.5</v>
      </c>
      <c r="AB90">
        <v>5</v>
      </c>
      <c r="AC90">
        <v>18.5</v>
      </c>
      <c r="AD90">
        <v>35.5</v>
      </c>
      <c r="AE90">
        <v>28.2</v>
      </c>
      <c r="AF90">
        <v>17.899999999999999</v>
      </c>
      <c r="AG90">
        <v>41.6</v>
      </c>
      <c r="AH90">
        <v>58.4</v>
      </c>
      <c r="AI90">
        <v>66.3</v>
      </c>
      <c r="AJ90">
        <v>33.700000000000003</v>
      </c>
      <c r="AK90">
        <v>45.1</v>
      </c>
      <c r="AL90">
        <v>44.4</v>
      </c>
      <c r="AM90">
        <v>41.4</v>
      </c>
      <c r="AN90" t="s">
        <v>97</v>
      </c>
      <c r="AO90">
        <v>73.8</v>
      </c>
      <c r="AP90">
        <v>22.1</v>
      </c>
      <c r="AQ90">
        <v>27.1</v>
      </c>
      <c r="AR90">
        <v>66.599999999999994</v>
      </c>
      <c r="AS90" t="s">
        <v>98</v>
      </c>
      <c r="AT90" t="s">
        <v>55</v>
      </c>
      <c r="AU90" t="s">
        <v>56</v>
      </c>
      <c r="AV90">
        <v>3.7</v>
      </c>
      <c r="AW90">
        <v>0.32</v>
      </c>
    </row>
    <row r="91" spans="1:49" x14ac:dyDescent="0.25">
      <c r="A91" t="s">
        <v>95</v>
      </c>
      <c r="B91" t="s">
        <v>96</v>
      </c>
      <c r="C91" t="s">
        <v>51</v>
      </c>
      <c r="D91" t="s">
        <v>84</v>
      </c>
      <c r="E91">
        <v>2025</v>
      </c>
      <c r="F91">
        <v>12</v>
      </c>
      <c r="G91" t="s">
        <v>68</v>
      </c>
      <c r="H91">
        <v>21163</v>
      </c>
      <c r="I91">
        <v>204084</v>
      </c>
      <c r="J91">
        <v>18291</v>
      </c>
      <c r="K91">
        <v>0.18</v>
      </c>
      <c r="L91">
        <v>45.2</v>
      </c>
      <c r="M91">
        <v>40.799999999999997</v>
      </c>
      <c r="N91">
        <v>35.799999999999997</v>
      </c>
      <c r="O91">
        <v>27.4</v>
      </c>
      <c r="P91">
        <v>23.6</v>
      </c>
      <c r="Q91">
        <v>18.5</v>
      </c>
      <c r="R91">
        <v>15.4</v>
      </c>
      <c r="S91">
        <v>15.2</v>
      </c>
      <c r="T91">
        <v>6.5</v>
      </c>
      <c r="U91">
        <v>12.6</v>
      </c>
      <c r="V91">
        <v>14.9</v>
      </c>
      <c r="W91">
        <v>11.5</v>
      </c>
      <c r="X91">
        <v>35.5</v>
      </c>
      <c r="Y91">
        <v>29.3</v>
      </c>
      <c r="Z91">
        <v>19.2</v>
      </c>
      <c r="AA91">
        <v>12.1</v>
      </c>
      <c r="AB91">
        <v>4</v>
      </c>
      <c r="AC91">
        <v>18.5</v>
      </c>
      <c r="AD91">
        <v>34.4</v>
      </c>
      <c r="AE91">
        <v>28.6</v>
      </c>
      <c r="AF91">
        <v>18.5</v>
      </c>
      <c r="AG91">
        <v>40.4</v>
      </c>
      <c r="AH91">
        <v>59.6</v>
      </c>
      <c r="AI91">
        <v>65.7</v>
      </c>
      <c r="AJ91">
        <v>34.299999999999997</v>
      </c>
      <c r="AK91">
        <v>42.9</v>
      </c>
      <c r="AL91">
        <v>51</v>
      </c>
      <c r="AM91">
        <v>41</v>
      </c>
      <c r="AN91" t="s">
        <v>97</v>
      </c>
      <c r="AO91">
        <v>75.400000000000006</v>
      </c>
      <c r="AP91">
        <v>30.2</v>
      </c>
      <c r="AQ91">
        <v>26.5</v>
      </c>
      <c r="AR91">
        <v>61.8</v>
      </c>
      <c r="AS91" t="s">
        <v>98</v>
      </c>
      <c r="AT91" t="s">
        <v>55</v>
      </c>
      <c r="AU91" t="s">
        <v>56</v>
      </c>
      <c r="AV91">
        <v>4.5</v>
      </c>
      <c r="AW91">
        <v>0.35</v>
      </c>
    </row>
    <row r="92" spans="1:49" x14ac:dyDescent="0.25">
      <c r="A92" t="s">
        <v>95</v>
      </c>
      <c r="B92" t="s">
        <v>96</v>
      </c>
      <c r="C92" t="s">
        <v>51</v>
      </c>
      <c r="D92" t="s">
        <v>84</v>
      </c>
      <c r="E92">
        <v>2026</v>
      </c>
      <c r="F92">
        <v>1</v>
      </c>
      <c r="G92" t="s">
        <v>69</v>
      </c>
      <c r="H92">
        <v>20979</v>
      </c>
      <c r="I92">
        <v>225063</v>
      </c>
      <c r="J92">
        <v>17515</v>
      </c>
      <c r="K92">
        <v>0.28000000000000003</v>
      </c>
      <c r="L92">
        <v>45.8</v>
      </c>
      <c r="M92">
        <v>41.2</v>
      </c>
      <c r="N92">
        <v>38.700000000000003</v>
      </c>
      <c r="O92">
        <v>27.7</v>
      </c>
      <c r="P92">
        <v>25.5</v>
      </c>
      <c r="Q92">
        <v>16.8</v>
      </c>
      <c r="R92">
        <v>14.9</v>
      </c>
      <c r="S92">
        <v>12.8</v>
      </c>
      <c r="T92">
        <v>7.2</v>
      </c>
      <c r="U92">
        <v>11.2</v>
      </c>
      <c r="V92">
        <v>12.6</v>
      </c>
      <c r="W92">
        <v>10.9</v>
      </c>
      <c r="X92">
        <v>30</v>
      </c>
      <c r="Y92">
        <v>31.4</v>
      </c>
      <c r="Z92">
        <v>21.3</v>
      </c>
      <c r="AA92">
        <v>12.3</v>
      </c>
      <c r="AB92">
        <v>5</v>
      </c>
      <c r="AC92">
        <v>15.6</v>
      </c>
      <c r="AD92">
        <v>31</v>
      </c>
      <c r="AE92">
        <v>26.8</v>
      </c>
      <c r="AF92">
        <v>26.7</v>
      </c>
      <c r="AG92">
        <v>40.4</v>
      </c>
      <c r="AH92">
        <v>59.6</v>
      </c>
      <c r="AI92">
        <v>63.9</v>
      </c>
      <c r="AJ92">
        <v>36.1</v>
      </c>
      <c r="AK92">
        <v>40.9</v>
      </c>
      <c r="AL92">
        <v>44.9</v>
      </c>
      <c r="AM92">
        <v>37.799999999999997</v>
      </c>
      <c r="AN92" t="s">
        <v>97</v>
      </c>
      <c r="AO92">
        <v>73.3</v>
      </c>
      <c r="AP92">
        <v>34.299999999999997</v>
      </c>
      <c r="AQ92">
        <v>29.8</v>
      </c>
      <c r="AR92">
        <v>67.599999999999994</v>
      </c>
      <c r="AS92" t="s">
        <v>98</v>
      </c>
      <c r="AT92" t="s">
        <v>55</v>
      </c>
      <c r="AU92" t="s">
        <v>56</v>
      </c>
      <c r="AV92">
        <v>3.9</v>
      </c>
      <c r="AW92">
        <v>0.35</v>
      </c>
    </row>
    <row r="93" spans="1:49" x14ac:dyDescent="0.25">
      <c r="A93" t="s">
        <v>99</v>
      </c>
      <c r="B93" t="s">
        <v>100</v>
      </c>
      <c r="C93" t="s">
        <v>51</v>
      </c>
      <c r="D93" t="s">
        <v>52</v>
      </c>
      <c r="E93">
        <v>2025</v>
      </c>
      <c r="F93">
        <v>1</v>
      </c>
      <c r="G93" t="s">
        <v>53</v>
      </c>
      <c r="H93">
        <v>9990</v>
      </c>
      <c r="I93">
        <v>9990</v>
      </c>
      <c r="J93">
        <v>8405</v>
      </c>
      <c r="K93">
        <v>0.23</v>
      </c>
      <c r="L93">
        <v>47</v>
      </c>
      <c r="M93">
        <v>37.4</v>
      </c>
      <c r="N93">
        <v>41.5</v>
      </c>
      <c r="O93">
        <v>23.2</v>
      </c>
      <c r="P93">
        <v>18.5</v>
      </c>
      <c r="Q93">
        <v>13.6</v>
      </c>
      <c r="R93">
        <v>17.600000000000001</v>
      </c>
      <c r="S93">
        <v>55.7</v>
      </c>
      <c r="T93">
        <v>9.9</v>
      </c>
      <c r="U93">
        <v>10.199999999999999</v>
      </c>
      <c r="V93">
        <v>10.3</v>
      </c>
      <c r="W93">
        <v>11.6</v>
      </c>
      <c r="X93">
        <v>29.6</v>
      </c>
      <c r="Y93">
        <v>31.2</v>
      </c>
      <c r="Z93">
        <v>22.1</v>
      </c>
      <c r="AA93">
        <v>13.2</v>
      </c>
      <c r="AB93">
        <v>4</v>
      </c>
      <c r="AC93">
        <v>19.2</v>
      </c>
      <c r="AD93">
        <v>34.5</v>
      </c>
      <c r="AE93">
        <v>28.2</v>
      </c>
      <c r="AF93">
        <v>18.2</v>
      </c>
      <c r="AG93">
        <v>43.7</v>
      </c>
      <c r="AH93">
        <v>56.3</v>
      </c>
      <c r="AI93">
        <v>63.6</v>
      </c>
      <c r="AJ93">
        <v>36.4</v>
      </c>
      <c r="AK93">
        <v>40.9</v>
      </c>
      <c r="AL93">
        <v>43.7</v>
      </c>
      <c r="AM93">
        <v>35</v>
      </c>
      <c r="AN93" t="s">
        <v>54</v>
      </c>
      <c r="AO93">
        <v>73.400000000000006</v>
      </c>
      <c r="AP93">
        <v>24.5</v>
      </c>
      <c r="AQ93">
        <v>28.3</v>
      </c>
      <c r="AR93">
        <v>61.2</v>
      </c>
      <c r="AS93" t="s">
        <v>56</v>
      </c>
      <c r="AT93" t="s">
        <v>55</v>
      </c>
      <c r="AU93" t="s">
        <v>81</v>
      </c>
      <c r="AV93">
        <v>4.5</v>
      </c>
      <c r="AW93">
        <v>0.37</v>
      </c>
    </row>
    <row r="94" spans="1:49" x14ac:dyDescent="0.25">
      <c r="A94" t="s">
        <v>99</v>
      </c>
      <c r="B94" t="s">
        <v>100</v>
      </c>
      <c r="C94" t="s">
        <v>51</v>
      </c>
      <c r="D94" t="s">
        <v>52</v>
      </c>
      <c r="E94">
        <v>2025</v>
      </c>
      <c r="F94">
        <v>2</v>
      </c>
      <c r="G94" t="s">
        <v>58</v>
      </c>
      <c r="H94">
        <v>10723</v>
      </c>
      <c r="I94">
        <v>20713</v>
      </c>
      <c r="J94">
        <v>8896</v>
      </c>
      <c r="K94">
        <v>0.19</v>
      </c>
      <c r="L94">
        <v>44.6</v>
      </c>
      <c r="M94">
        <v>36.299999999999997</v>
      </c>
      <c r="N94">
        <v>38.9</v>
      </c>
      <c r="O94">
        <v>21.1</v>
      </c>
      <c r="P94">
        <v>18</v>
      </c>
      <c r="Q94">
        <v>13.1</v>
      </c>
      <c r="R94">
        <v>17.7</v>
      </c>
      <c r="S94">
        <v>52.9</v>
      </c>
      <c r="T94">
        <v>8</v>
      </c>
      <c r="U94">
        <v>10.1</v>
      </c>
      <c r="V94">
        <v>10.3</v>
      </c>
      <c r="W94">
        <v>11</v>
      </c>
      <c r="X94">
        <v>35.700000000000003</v>
      </c>
      <c r="Y94">
        <v>29.7</v>
      </c>
      <c r="Z94">
        <v>21.3</v>
      </c>
      <c r="AA94">
        <v>11.1</v>
      </c>
      <c r="AB94">
        <v>2.2000000000000002</v>
      </c>
      <c r="AC94">
        <v>16.600000000000001</v>
      </c>
      <c r="AD94">
        <v>33.200000000000003</v>
      </c>
      <c r="AE94">
        <v>29.5</v>
      </c>
      <c r="AF94">
        <v>20.7</v>
      </c>
      <c r="AG94">
        <v>44.2</v>
      </c>
      <c r="AH94">
        <v>55.8</v>
      </c>
      <c r="AI94">
        <v>63.7</v>
      </c>
      <c r="AJ94">
        <v>36.299999999999997</v>
      </c>
      <c r="AK94">
        <v>44.3</v>
      </c>
      <c r="AL94">
        <v>43.2</v>
      </c>
      <c r="AM94">
        <v>40.5</v>
      </c>
      <c r="AN94" t="s">
        <v>54</v>
      </c>
      <c r="AO94">
        <v>72</v>
      </c>
      <c r="AP94">
        <v>27.8</v>
      </c>
      <c r="AQ94">
        <v>30.4</v>
      </c>
      <c r="AR94">
        <v>66.8</v>
      </c>
      <c r="AS94" t="s">
        <v>56</v>
      </c>
      <c r="AT94" t="s">
        <v>55</v>
      </c>
      <c r="AU94" t="s">
        <v>81</v>
      </c>
      <c r="AV94">
        <v>3.7</v>
      </c>
      <c r="AW94">
        <v>0.33</v>
      </c>
    </row>
    <row r="95" spans="1:49" x14ac:dyDescent="0.25">
      <c r="A95" t="s">
        <v>99</v>
      </c>
      <c r="B95" t="s">
        <v>100</v>
      </c>
      <c r="C95" t="s">
        <v>51</v>
      </c>
      <c r="D95" t="s">
        <v>52</v>
      </c>
      <c r="E95">
        <v>2025</v>
      </c>
      <c r="F95">
        <v>3</v>
      </c>
      <c r="G95" t="s">
        <v>59</v>
      </c>
      <c r="H95">
        <v>10806</v>
      </c>
      <c r="I95">
        <v>31519</v>
      </c>
      <c r="J95">
        <v>9309</v>
      </c>
      <c r="K95">
        <v>0.21</v>
      </c>
      <c r="L95">
        <v>45.7</v>
      </c>
      <c r="M95">
        <v>35.4</v>
      </c>
      <c r="N95">
        <v>40.1</v>
      </c>
      <c r="O95">
        <v>21.7</v>
      </c>
      <c r="P95">
        <v>18.100000000000001</v>
      </c>
      <c r="Q95">
        <v>15.4</v>
      </c>
      <c r="R95">
        <v>16.3</v>
      </c>
      <c r="S95">
        <v>54</v>
      </c>
      <c r="T95">
        <v>9</v>
      </c>
      <c r="U95">
        <v>11.8</v>
      </c>
      <c r="V95">
        <v>11.2</v>
      </c>
      <c r="W95">
        <v>10.6</v>
      </c>
      <c r="X95">
        <v>33.299999999999997</v>
      </c>
      <c r="Y95">
        <v>28.9</v>
      </c>
      <c r="Z95">
        <v>22.7</v>
      </c>
      <c r="AA95">
        <v>13.1</v>
      </c>
      <c r="AB95">
        <v>2</v>
      </c>
      <c r="AC95">
        <v>19.100000000000001</v>
      </c>
      <c r="AD95">
        <v>32.9</v>
      </c>
      <c r="AE95">
        <v>27.7</v>
      </c>
      <c r="AF95">
        <v>20.399999999999999</v>
      </c>
      <c r="AG95">
        <v>44.7</v>
      </c>
      <c r="AH95">
        <v>55.3</v>
      </c>
      <c r="AI95">
        <v>66.5</v>
      </c>
      <c r="AJ95">
        <v>33.5</v>
      </c>
      <c r="AK95">
        <v>40.6</v>
      </c>
      <c r="AL95">
        <v>45.9</v>
      </c>
      <c r="AM95">
        <v>42.2</v>
      </c>
      <c r="AN95" t="s">
        <v>54</v>
      </c>
      <c r="AO95">
        <v>69.5</v>
      </c>
      <c r="AP95">
        <v>34</v>
      </c>
      <c r="AQ95">
        <v>30.6</v>
      </c>
      <c r="AR95">
        <v>64.5</v>
      </c>
      <c r="AS95" t="s">
        <v>56</v>
      </c>
      <c r="AT95" t="s">
        <v>55</v>
      </c>
      <c r="AU95" t="s">
        <v>81</v>
      </c>
      <c r="AV95">
        <v>4.7</v>
      </c>
      <c r="AW95">
        <v>0.32</v>
      </c>
    </row>
    <row r="96" spans="1:49" x14ac:dyDescent="0.25">
      <c r="A96" t="s">
        <v>99</v>
      </c>
      <c r="B96" t="s">
        <v>100</v>
      </c>
      <c r="C96" t="s">
        <v>51</v>
      </c>
      <c r="D96" t="s">
        <v>52</v>
      </c>
      <c r="E96">
        <v>2025</v>
      </c>
      <c r="F96">
        <v>4</v>
      </c>
      <c r="G96" t="s">
        <v>60</v>
      </c>
      <c r="H96">
        <v>10667</v>
      </c>
      <c r="I96">
        <v>42186</v>
      </c>
      <c r="J96">
        <v>9308</v>
      </c>
      <c r="K96">
        <v>0.23</v>
      </c>
      <c r="L96">
        <v>46.1</v>
      </c>
      <c r="M96">
        <v>36.9</v>
      </c>
      <c r="N96">
        <v>40.799999999999997</v>
      </c>
      <c r="O96">
        <v>20.6</v>
      </c>
      <c r="P96">
        <v>19.899999999999999</v>
      </c>
      <c r="Q96">
        <v>15.4</v>
      </c>
      <c r="R96">
        <v>17.399999999999999</v>
      </c>
      <c r="S96">
        <v>44.5</v>
      </c>
      <c r="T96">
        <v>9</v>
      </c>
      <c r="U96">
        <v>10.9</v>
      </c>
      <c r="V96">
        <v>9.8000000000000007</v>
      </c>
      <c r="W96">
        <v>10.8</v>
      </c>
      <c r="X96">
        <v>30.5</v>
      </c>
      <c r="Y96">
        <v>29.7</v>
      </c>
      <c r="Z96">
        <v>22.2</v>
      </c>
      <c r="AA96">
        <v>12.6</v>
      </c>
      <c r="AB96">
        <v>5</v>
      </c>
      <c r="AC96">
        <v>17.899999999999999</v>
      </c>
      <c r="AD96">
        <v>34.299999999999997</v>
      </c>
      <c r="AE96">
        <v>26</v>
      </c>
      <c r="AF96">
        <v>21.8</v>
      </c>
      <c r="AG96">
        <v>41.3</v>
      </c>
      <c r="AH96">
        <v>58.7</v>
      </c>
      <c r="AI96">
        <v>68.599999999999994</v>
      </c>
      <c r="AJ96">
        <v>31.4</v>
      </c>
      <c r="AK96">
        <v>44.4</v>
      </c>
      <c r="AL96">
        <v>42.7</v>
      </c>
      <c r="AM96">
        <v>41.9</v>
      </c>
      <c r="AN96" t="s">
        <v>54</v>
      </c>
      <c r="AO96">
        <v>71.900000000000006</v>
      </c>
      <c r="AP96">
        <v>22.1</v>
      </c>
      <c r="AQ96">
        <v>29.7</v>
      </c>
      <c r="AR96">
        <v>68.8</v>
      </c>
      <c r="AS96" t="s">
        <v>56</v>
      </c>
      <c r="AT96" t="s">
        <v>55</v>
      </c>
      <c r="AU96" t="s">
        <v>81</v>
      </c>
      <c r="AV96">
        <v>4.3</v>
      </c>
      <c r="AW96">
        <v>0.38</v>
      </c>
    </row>
    <row r="97" spans="1:49" x14ac:dyDescent="0.25">
      <c r="A97" t="s">
        <v>99</v>
      </c>
      <c r="B97" t="s">
        <v>100</v>
      </c>
      <c r="C97" t="s">
        <v>51</v>
      </c>
      <c r="D97" t="s">
        <v>52</v>
      </c>
      <c r="E97">
        <v>2025</v>
      </c>
      <c r="F97">
        <v>5</v>
      </c>
      <c r="G97" t="s">
        <v>61</v>
      </c>
      <c r="H97">
        <v>12559</v>
      </c>
      <c r="I97">
        <v>54745</v>
      </c>
      <c r="J97">
        <v>10903</v>
      </c>
      <c r="K97">
        <v>0.25</v>
      </c>
      <c r="L97">
        <v>44.9</v>
      </c>
      <c r="M97">
        <v>37.700000000000003</v>
      </c>
      <c r="N97">
        <v>41.4</v>
      </c>
      <c r="O97">
        <v>21.3</v>
      </c>
      <c r="P97">
        <v>19.600000000000001</v>
      </c>
      <c r="Q97">
        <v>15.8</v>
      </c>
      <c r="R97">
        <v>18.3</v>
      </c>
      <c r="S97">
        <v>43.4</v>
      </c>
      <c r="T97">
        <v>9.6</v>
      </c>
      <c r="U97">
        <v>11.7</v>
      </c>
      <c r="V97">
        <v>11.1</v>
      </c>
      <c r="W97">
        <v>12</v>
      </c>
      <c r="X97">
        <v>33.700000000000003</v>
      </c>
      <c r="Y97">
        <v>27.4</v>
      </c>
      <c r="Z97">
        <v>21.3</v>
      </c>
      <c r="AA97">
        <v>12.6</v>
      </c>
      <c r="AB97">
        <v>5</v>
      </c>
      <c r="AC97">
        <v>15.6</v>
      </c>
      <c r="AD97">
        <v>31.2</v>
      </c>
      <c r="AE97">
        <v>27.6</v>
      </c>
      <c r="AF97">
        <v>25.6</v>
      </c>
      <c r="AG97">
        <v>41.4</v>
      </c>
      <c r="AH97">
        <v>58.6</v>
      </c>
      <c r="AI97">
        <v>64.099999999999994</v>
      </c>
      <c r="AJ97">
        <v>35.9</v>
      </c>
      <c r="AK97">
        <v>40.6</v>
      </c>
      <c r="AL97">
        <v>49</v>
      </c>
      <c r="AM97">
        <v>38.4</v>
      </c>
      <c r="AN97" t="s">
        <v>54</v>
      </c>
      <c r="AO97">
        <v>71.400000000000006</v>
      </c>
      <c r="AP97">
        <v>34.700000000000003</v>
      </c>
      <c r="AQ97">
        <v>26.1</v>
      </c>
      <c r="AR97">
        <v>60.6</v>
      </c>
      <c r="AS97" t="s">
        <v>56</v>
      </c>
      <c r="AT97" t="s">
        <v>55</v>
      </c>
      <c r="AU97" t="s">
        <v>81</v>
      </c>
      <c r="AV97">
        <v>4.5999999999999996</v>
      </c>
      <c r="AW97">
        <v>0.37</v>
      </c>
    </row>
    <row r="98" spans="1:49" x14ac:dyDescent="0.25">
      <c r="A98" t="s">
        <v>99</v>
      </c>
      <c r="B98" t="s">
        <v>100</v>
      </c>
      <c r="C98" t="s">
        <v>51</v>
      </c>
      <c r="D98" t="s">
        <v>52</v>
      </c>
      <c r="E98">
        <v>2025</v>
      </c>
      <c r="F98">
        <v>6</v>
      </c>
      <c r="G98" t="s">
        <v>62</v>
      </c>
      <c r="H98">
        <v>13285</v>
      </c>
      <c r="I98">
        <v>68030</v>
      </c>
      <c r="J98">
        <v>11110</v>
      </c>
      <c r="K98">
        <v>0.28000000000000003</v>
      </c>
      <c r="L98">
        <v>45.3</v>
      </c>
      <c r="M98">
        <v>38.4</v>
      </c>
      <c r="N98">
        <v>39.799999999999997</v>
      </c>
      <c r="O98">
        <v>22</v>
      </c>
      <c r="P98">
        <v>20</v>
      </c>
      <c r="Q98">
        <v>15</v>
      </c>
      <c r="R98">
        <v>16.8</v>
      </c>
      <c r="S98">
        <v>42.8</v>
      </c>
      <c r="T98">
        <v>8.1</v>
      </c>
      <c r="U98">
        <v>11.9</v>
      </c>
      <c r="V98">
        <v>11.5</v>
      </c>
      <c r="W98">
        <v>11.5</v>
      </c>
      <c r="X98">
        <v>31.9</v>
      </c>
      <c r="Y98">
        <v>28.3</v>
      </c>
      <c r="Z98">
        <v>24</v>
      </c>
      <c r="AA98">
        <v>10.8</v>
      </c>
      <c r="AB98">
        <v>5</v>
      </c>
      <c r="AC98">
        <v>16.600000000000001</v>
      </c>
      <c r="AD98">
        <v>30.2</v>
      </c>
      <c r="AE98">
        <v>27.3</v>
      </c>
      <c r="AF98">
        <v>25.9</v>
      </c>
      <c r="AG98">
        <v>40.200000000000003</v>
      </c>
      <c r="AH98">
        <v>59.8</v>
      </c>
      <c r="AI98">
        <v>70.8</v>
      </c>
      <c r="AJ98">
        <v>29.2</v>
      </c>
      <c r="AK98">
        <v>42.6</v>
      </c>
      <c r="AL98">
        <v>51</v>
      </c>
      <c r="AM98">
        <v>43</v>
      </c>
      <c r="AN98" t="s">
        <v>54</v>
      </c>
      <c r="AO98">
        <v>69.900000000000006</v>
      </c>
      <c r="AP98">
        <v>29.8</v>
      </c>
      <c r="AQ98">
        <v>20.5</v>
      </c>
      <c r="AR98">
        <v>67.3</v>
      </c>
      <c r="AS98" t="s">
        <v>56</v>
      </c>
      <c r="AT98" t="s">
        <v>55</v>
      </c>
      <c r="AU98" t="s">
        <v>81</v>
      </c>
      <c r="AV98">
        <v>4</v>
      </c>
      <c r="AW98">
        <v>0.39</v>
      </c>
    </row>
    <row r="99" spans="1:49" x14ac:dyDescent="0.25">
      <c r="A99" t="s">
        <v>99</v>
      </c>
      <c r="B99" t="s">
        <v>100</v>
      </c>
      <c r="C99" t="s">
        <v>51</v>
      </c>
      <c r="D99" t="s">
        <v>52</v>
      </c>
      <c r="E99">
        <v>2025</v>
      </c>
      <c r="F99">
        <v>7</v>
      </c>
      <c r="G99" t="s">
        <v>63</v>
      </c>
      <c r="H99">
        <v>14351</v>
      </c>
      <c r="I99">
        <v>82381</v>
      </c>
      <c r="J99">
        <v>12478</v>
      </c>
      <c r="K99">
        <v>0.3</v>
      </c>
      <c r="L99">
        <v>45.2</v>
      </c>
      <c r="M99">
        <v>35.9</v>
      </c>
      <c r="N99">
        <v>39.1</v>
      </c>
      <c r="O99">
        <v>25.2</v>
      </c>
      <c r="P99">
        <v>20.9</v>
      </c>
      <c r="Q99">
        <v>15.2</v>
      </c>
      <c r="R99">
        <v>18.5</v>
      </c>
      <c r="S99">
        <v>43</v>
      </c>
      <c r="T99">
        <v>10.3</v>
      </c>
      <c r="U99">
        <v>10.6</v>
      </c>
      <c r="V99">
        <v>9.1999999999999993</v>
      </c>
      <c r="W99">
        <v>10.7</v>
      </c>
      <c r="X99">
        <v>29.8</v>
      </c>
      <c r="Y99">
        <v>29.4</v>
      </c>
      <c r="Z99">
        <v>23.9</v>
      </c>
      <c r="AA99">
        <v>11.8</v>
      </c>
      <c r="AB99">
        <v>5</v>
      </c>
      <c r="AC99">
        <v>15.9</v>
      </c>
      <c r="AD99">
        <v>33.9</v>
      </c>
      <c r="AE99">
        <v>27.2</v>
      </c>
      <c r="AF99">
        <v>23</v>
      </c>
      <c r="AG99">
        <v>40.1</v>
      </c>
      <c r="AH99">
        <v>59.9</v>
      </c>
      <c r="AI99">
        <v>69.599999999999994</v>
      </c>
      <c r="AJ99">
        <v>30.4</v>
      </c>
      <c r="AK99">
        <v>45</v>
      </c>
      <c r="AL99">
        <v>47.6</v>
      </c>
      <c r="AM99">
        <v>40.6</v>
      </c>
      <c r="AN99" t="s">
        <v>54</v>
      </c>
      <c r="AO99">
        <v>73</v>
      </c>
      <c r="AP99">
        <v>32.700000000000003</v>
      </c>
      <c r="AQ99">
        <v>20.5</v>
      </c>
      <c r="AR99">
        <v>69.7</v>
      </c>
      <c r="AS99" t="s">
        <v>56</v>
      </c>
      <c r="AT99" t="s">
        <v>55</v>
      </c>
      <c r="AU99" t="s">
        <v>81</v>
      </c>
      <c r="AV99">
        <v>4.5999999999999996</v>
      </c>
      <c r="AW99">
        <v>0.36</v>
      </c>
    </row>
    <row r="100" spans="1:49" x14ac:dyDescent="0.25">
      <c r="A100" t="s">
        <v>99</v>
      </c>
      <c r="B100" t="s">
        <v>100</v>
      </c>
      <c r="C100" t="s">
        <v>51</v>
      </c>
      <c r="D100" t="s">
        <v>52</v>
      </c>
      <c r="E100">
        <v>2025</v>
      </c>
      <c r="F100">
        <v>8</v>
      </c>
      <c r="G100" t="s">
        <v>64</v>
      </c>
      <c r="H100">
        <v>14087</v>
      </c>
      <c r="I100">
        <v>96468</v>
      </c>
      <c r="J100">
        <v>12388</v>
      </c>
      <c r="K100">
        <v>0.28999999999999998</v>
      </c>
      <c r="L100">
        <v>45.8</v>
      </c>
      <c r="M100">
        <v>38.6</v>
      </c>
      <c r="N100">
        <v>39.799999999999997</v>
      </c>
      <c r="O100">
        <v>23.9</v>
      </c>
      <c r="P100">
        <v>23.7</v>
      </c>
      <c r="Q100">
        <v>15.9</v>
      </c>
      <c r="R100">
        <v>17.100000000000001</v>
      </c>
      <c r="S100">
        <v>42</v>
      </c>
      <c r="T100">
        <v>7.9</v>
      </c>
      <c r="U100">
        <v>12.9</v>
      </c>
      <c r="V100">
        <v>12</v>
      </c>
      <c r="W100">
        <v>11.2</v>
      </c>
      <c r="X100">
        <v>34.6</v>
      </c>
      <c r="Y100">
        <v>30.2</v>
      </c>
      <c r="Z100">
        <v>19</v>
      </c>
      <c r="AA100">
        <v>11.3</v>
      </c>
      <c r="AB100">
        <v>5</v>
      </c>
      <c r="AC100">
        <v>18</v>
      </c>
      <c r="AD100">
        <v>34.1</v>
      </c>
      <c r="AE100">
        <v>27.9</v>
      </c>
      <c r="AF100">
        <v>20</v>
      </c>
      <c r="AG100">
        <v>45.7</v>
      </c>
      <c r="AH100">
        <v>54.3</v>
      </c>
      <c r="AI100">
        <v>63.7</v>
      </c>
      <c r="AJ100">
        <v>36.299999999999997</v>
      </c>
      <c r="AK100">
        <v>42.2</v>
      </c>
      <c r="AL100">
        <v>43.6</v>
      </c>
      <c r="AM100">
        <v>40.700000000000003</v>
      </c>
      <c r="AN100" t="s">
        <v>54</v>
      </c>
      <c r="AO100">
        <v>72</v>
      </c>
      <c r="AP100">
        <v>31.7</v>
      </c>
      <c r="AQ100">
        <v>28.4</v>
      </c>
      <c r="AR100">
        <v>67.099999999999994</v>
      </c>
      <c r="AS100" t="s">
        <v>56</v>
      </c>
      <c r="AT100" t="s">
        <v>55</v>
      </c>
      <c r="AU100" t="s">
        <v>81</v>
      </c>
      <c r="AV100">
        <v>4.3</v>
      </c>
      <c r="AW100">
        <v>0.32</v>
      </c>
    </row>
    <row r="101" spans="1:49" x14ac:dyDescent="0.25">
      <c r="A101" t="s">
        <v>99</v>
      </c>
      <c r="B101" t="s">
        <v>100</v>
      </c>
      <c r="C101" t="s">
        <v>51</v>
      </c>
      <c r="D101" t="s">
        <v>52</v>
      </c>
      <c r="E101">
        <v>2025</v>
      </c>
      <c r="F101">
        <v>9</v>
      </c>
      <c r="G101" t="s">
        <v>65</v>
      </c>
      <c r="H101">
        <v>14994</v>
      </c>
      <c r="I101">
        <v>111462</v>
      </c>
      <c r="J101">
        <v>12704</v>
      </c>
      <c r="K101">
        <v>0.27</v>
      </c>
      <c r="L101">
        <v>47</v>
      </c>
      <c r="M101">
        <v>37.700000000000003</v>
      </c>
      <c r="N101">
        <v>42.1</v>
      </c>
      <c r="O101">
        <v>24.2</v>
      </c>
      <c r="P101">
        <v>23.2</v>
      </c>
      <c r="Q101">
        <v>15.6</v>
      </c>
      <c r="R101">
        <v>18.5</v>
      </c>
      <c r="S101">
        <v>42.5</v>
      </c>
      <c r="T101">
        <v>8.9</v>
      </c>
      <c r="U101">
        <v>11.4</v>
      </c>
      <c r="V101">
        <v>10.3</v>
      </c>
      <c r="W101">
        <v>10.4</v>
      </c>
      <c r="X101">
        <v>30.2</v>
      </c>
      <c r="Y101">
        <v>31.5</v>
      </c>
      <c r="Z101">
        <v>21.5</v>
      </c>
      <c r="AA101">
        <v>12</v>
      </c>
      <c r="AB101">
        <v>4.8</v>
      </c>
      <c r="AC101">
        <v>16.100000000000001</v>
      </c>
      <c r="AD101">
        <v>30.3</v>
      </c>
      <c r="AE101">
        <v>26.2</v>
      </c>
      <c r="AF101">
        <v>27.4</v>
      </c>
      <c r="AG101">
        <v>42.5</v>
      </c>
      <c r="AH101">
        <v>57.5</v>
      </c>
      <c r="AI101">
        <v>62.8</v>
      </c>
      <c r="AJ101">
        <v>37.200000000000003</v>
      </c>
      <c r="AK101">
        <v>41.7</v>
      </c>
      <c r="AL101">
        <v>50.6</v>
      </c>
      <c r="AM101">
        <v>43</v>
      </c>
      <c r="AN101" t="s">
        <v>54</v>
      </c>
      <c r="AO101">
        <v>72.900000000000006</v>
      </c>
      <c r="AP101">
        <v>34.299999999999997</v>
      </c>
      <c r="AQ101">
        <v>30.6</v>
      </c>
      <c r="AR101">
        <v>67.2</v>
      </c>
      <c r="AS101" t="s">
        <v>56</v>
      </c>
      <c r="AT101" t="s">
        <v>55</v>
      </c>
      <c r="AU101" t="s">
        <v>81</v>
      </c>
      <c r="AV101">
        <v>3.8</v>
      </c>
      <c r="AW101">
        <v>0.37</v>
      </c>
    </row>
    <row r="102" spans="1:49" x14ac:dyDescent="0.25">
      <c r="A102" t="s">
        <v>99</v>
      </c>
      <c r="B102" t="s">
        <v>100</v>
      </c>
      <c r="C102" t="s">
        <v>51</v>
      </c>
      <c r="D102" t="s">
        <v>52</v>
      </c>
      <c r="E102">
        <v>2025</v>
      </c>
      <c r="F102">
        <v>10</v>
      </c>
      <c r="G102" t="s">
        <v>66</v>
      </c>
      <c r="H102">
        <v>14022</v>
      </c>
      <c r="I102">
        <v>125484</v>
      </c>
      <c r="J102">
        <v>12173</v>
      </c>
      <c r="K102">
        <v>0.32</v>
      </c>
      <c r="L102">
        <v>44.6</v>
      </c>
      <c r="M102">
        <v>35.700000000000003</v>
      </c>
      <c r="N102">
        <v>43</v>
      </c>
      <c r="O102">
        <v>24</v>
      </c>
      <c r="P102">
        <v>24.2</v>
      </c>
      <c r="Q102">
        <v>12.4</v>
      </c>
      <c r="R102">
        <v>17.100000000000001</v>
      </c>
      <c r="S102">
        <v>52.4</v>
      </c>
      <c r="T102">
        <v>10.199999999999999</v>
      </c>
      <c r="U102">
        <v>12.4</v>
      </c>
      <c r="V102">
        <v>11.7</v>
      </c>
      <c r="W102">
        <v>12.1</v>
      </c>
      <c r="X102">
        <v>34.299999999999997</v>
      </c>
      <c r="Y102">
        <v>28.8</v>
      </c>
      <c r="Z102">
        <v>21.7</v>
      </c>
      <c r="AA102">
        <v>10.1</v>
      </c>
      <c r="AB102">
        <v>5</v>
      </c>
      <c r="AC102">
        <v>16.8</v>
      </c>
      <c r="AD102">
        <v>31.6</v>
      </c>
      <c r="AE102">
        <v>26.5</v>
      </c>
      <c r="AF102">
        <v>25.1</v>
      </c>
      <c r="AG102">
        <v>41</v>
      </c>
      <c r="AH102">
        <v>59</v>
      </c>
      <c r="AI102">
        <v>63.5</v>
      </c>
      <c r="AJ102">
        <v>36.5</v>
      </c>
      <c r="AK102">
        <v>42.2</v>
      </c>
      <c r="AL102">
        <v>50</v>
      </c>
      <c r="AM102">
        <v>37.9</v>
      </c>
      <c r="AN102" t="s">
        <v>54</v>
      </c>
      <c r="AO102">
        <v>75.8</v>
      </c>
      <c r="AP102">
        <v>32.6</v>
      </c>
      <c r="AQ102">
        <v>31.6</v>
      </c>
      <c r="AR102">
        <v>64.2</v>
      </c>
      <c r="AS102" t="s">
        <v>56</v>
      </c>
      <c r="AT102" t="s">
        <v>55</v>
      </c>
      <c r="AU102" t="s">
        <v>81</v>
      </c>
      <c r="AV102">
        <v>4</v>
      </c>
      <c r="AW102">
        <v>0.32</v>
      </c>
    </row>
    <row r="103" spans="1:49" x14ac:dyDescent="0.25">
      <c r="A103" t="s">
        <v>99</v>
      </c>
      <c r="B103" t="s">
        <v>100</v>
      </c>
      <c r="C103" t="s">
        <v>51</v>
      </c>
      <c r="D103" t="s">
        <v>52</v>
      </c>
      <c r="E103">
        <v>2025</v>
      </c>
      <c r="F103">
        <v>11</v>
      </c>
      <c r="G103" t="s">
        <v>67</v>
      </c>
      <c r="H103">
        <v>14089</v>
      </c>
      <c r="I103">
        <v>139573</v>
      </c>
      <c r="J103">
        <v>11769</v>
      </c>
      <c r="K103">
        <v>0.23</v>
      </c>
      <c r="L103">
        <v>46.5</v>
      </c>
      <c r="M103">
        <v>35.9</v>
      </c>
      <c r="N103">
        <v>42.5</v>
      </c>
      <c r="O103">
        <v>23</v>
      </c>
      <c r="P103">
        <v>22.6</v>
      </c>
      <c r="Q103">
        <v>15.7</v>
      </c>
      <c r="R103">
        <v>16.600000000000001</v>
      </c>
      <c r="S103">
        <v>50.5</v>
      </c>
      <c r="T103">
        <v>8.8000000000000007</v>
      </c>
      <c r="U103">
        <v>10.8</v>
      </c>
      <c r="V103">
        <v>10.8</v>
      </c>
      <c r="W103">
        <v>12.1</v>
      </c>
      <c r="X103">
        <v>33.6</v>
      </c>
      <c r="Y103">
        <v>29.7</v>
      </c>
      <c r="Z103">
        <v>19.600000000000001</v>
      </c>
      <c r="AA103">
        <v>12.1</v>
      </c>
      <c r="AB103">
        <v>5</v>
      </c>
      <c r="AC103">
        <v>15.6</v>
      </c>
      <c r="AD103">
        <v>32.9</v>
      </c>
      <c r="AE103">
        <v>26.4</v>
      </c>
      <c r="AF103">
        <v>25</v>
      </c>
      <c r="AG103">
        <v>42.8</v>
      </c>
      <c r="AH103">
        <v>57.2</v>
      </c>
      <c r="AI103">
        <v>65.099999999999994</v>
      </c>
      <c r="AJ103">
        <v>34.9</v>
      </c>
      <c r="AK103">
        <v>45.8</v>
      </c>
      <c r="AL103">
        <v>47.7</v>
      </c>
      <c r="AM103">
        <v>41</v>
      </c>
      <c r="AN103" t="s">
        <v>54</v>
      </c>
      <c r="AO103">
        <v>74.599999999999994</v>
      </c>
      <c r="AP103">
        <v>22.8</v>
      </c>
      <c r="AQ103">
        <v>25</v>
      </c>
      <c r="AR103">
        <v>64.400000000000006</v>
      </c>
      <c r="AS103" t="s">
        <v>56</v>
      </c>
      <c r="AT103" t="s">
        <v>55</v>
      </c>
      <c r="AU103" t="s">
        <v>81</v>
      </c>
      <c r="AV103">
        <v>4.5</v>
      </c>
      <c r="AW103">
        <v>0.39</v>
      </c>
    </row>
    <row r="104" spans="1:49" x14ac:dyDescent="0.25">
      <c r="A104" t="s">
        <v>99</v>
      </c>
      <c r="B104" t="s">
        <v>100</v>
      </c>
      <c r="C104" t="s">
        <v>51</v>
      </c>
      <c r="D104" t="s">
        <v>52</v>
      </c>
      <c r="E104">
        <v>2025</v>
      </c>
      <c r="F104">
        <v>12</v>
      </c>
      <c r="G104" t="s">
        <v>68</v>
      </c>
      <c r="H104">
        <v>14975</v>
      </c>
      <c r="I104">
        <v>154548</v>
      </c>
      <c r="J104">
        <v>12762</v>
      </c>
      <c r="K104">
        <v>0.3</v>
      </c>
      <c r="L104">
        <v>47.5</v>
      </c>
      <c r="M104">
        <v>37.200000000000003</v>
      </c>
      <c r="N104">
        <v>40.200000000000003</v>
      </c>
      <c r="O104">
        <v>24.7</v>
      </c>
      <c r="P104">
        <v>24.6</v>
      </c>
      <c r="Q104">
        <v>14.2</v>
      </c>
      <c r="R104">
        <v>17.5</v>
      </c>
      <c r="S104">
        <v>55.5</v>
      </c>
      <c r="T104">
        <v>8.4</v>
      </c>
      <c r="U104">
        <v>12.5</v>
      </c>
      <c r="V104">
        <v>10.3</v>
      </c>
      <c r="W104">
        <v>11.1</v>
      </c>
      <c r="X104">
        <v>34.6</v>
      </c>
      <c r="Y104">
        <v>27.1</v>
      </c>
      <c r="Z104">
        <v>19.5</v>
      </c>
      <c r="AA104">
        <v>13.8</v>
      </c>
      <c r="AB104">
        <v>5</v>
      </c>
      <c r="AC104">
        <v>15.1</v>
      </c>
      <c r="AD104">
        <v>33.4</v>
      </c>
      <c r="AE104">
        <v>28.9</v>
      </c>
      <c r="AF104">
        <v>22.6</v>
      </c>
      <c r="AG104">
        <v>42.9</v>
      </c>
      <c r="AH104">
        <v>57.1</v>
      </c>
      <c r="AI104">
        <v>68.400000000000006</v>
      </c>
      <c r="AJ104">
        <v>31.6</v>
      </c>
      <c r="AK104">
        <v>41.1</v>
      </c>
      <c r="AL104">
        <v>47.7</v>
      </c>
      <c r="AM104">
        <v>36.700000000000003</v>
      </c>
      <c r="AN104" t="s">
        <v>54</v>
      </c>
      <c r="AO104">
        <v>69.8</v>
      </c>
      <c r="AP104">
        <v>29.7</v>
      </c>
      <c r="AQ104">
        <v>24.5</v>
      </c>
      <c r="AR104">
        <v>67.3</v>
      </c>
      <c r="AS104" t="s">
        <v>56</v>
      </c>
      <c r="AT104" t="s">
        <v>55</v>
      </c>
      <c r="AU104" t="s">
        <v>81</v>
      </c>
      <c r="AV104">
        <v>3.9</v>
      </c>
      <c r="AW104">
        <v>0.32</v>
      </c>
    </row>
    <row r="105" spans="1:49" x14ac:dyDescent="0.25">
      <c r="A105" t="s">
        <v>99</v>
      </c>
      <c r="B105" t="s">
        <v>100</v>
      </c>
      <c r="C105" t="s">
        <v>51</v>
      </c>
      <c r="D105" t="s">
        <v>52</v>
      </c>
      <c r="E105">
        <v>2026</v>
      </c>
      <c r="F105">
        <v>1</v>
      </c>
      <c r="G105" t="s">
        <v>69</v>
      </c>
      <c r="H105">
        <v>15087</v>
      </c>
      <c r="I105">
        <v>169635</v>
      </c>
      <c r="J105">
        <v>13118</v>
      </c>
      <c r="K105">
        <v>0.22</v>
      </c>
      <c r="L105">
        <v>47.3</v>
      </c>
      <c r="M105">
        <v>36.299999999999997</v>
      </c>
      <c r="N105">
        <v>40.200000000000003</v>
      </c>
      <c r="O105">
        <v>24.5</v>
      </c>
      <c r="P105">
        <v>25.2</v>
      </c>
      <c r="Q105">
        <v>13.7</v>
      </c>
      <c r="R105">
        <v>16.399999999999999</v>
      </c>
      <c r="S105">
        <v>54.6</v>
      </c>
      <c r="T105">
        <v>9.8000000000000007</v>
      </c>
      <c r="U105">
        <v>12.3</v>
      </c>
      <c r="V105">
        <v>9.6</v>
      </c>
      <c r="W105">
        <v>11.8</v>
      </c>
      <c r="X105">
        <v>31.4</v>
      </c>
      <c r="Y105">
        <v>32.5</v>
      </c>
      <c r="Z105">
        <v>20.8</v>
      </c>
      <c r="AA105">
        <v>10.3</v>
      </c>
      <c r="AB105">
        <v>5</v>
      </c>
      <c r="AC105">
        <v>14</v>
      </c>
      <c r="AD105">
        <v>35.200000000000003</v>
      </c>
      <c r="AE105">
        <v>30</v>
      </c>
      <c r="AF105">
        <v>20.8</v>
      </c>
      <c r="AG105">
        <v>43.8</v>
      </c>
      <c r="AH105">
        <v>56.2</v>
      </c>
      <c r="AI105">
        <v>69.5</v>
      </c>
      <c r="AJ105">
        <v>30.5</v>
      </c>
      <c r="AK105">
        <v>43.9</v>
      </c>
      <c r="AL105">
        <v>51.2</v>
      </c>
      <c r="AM105">
        <v>35.4</v>
      </c>
      <c r="AN105" t="s">
        <v>54</v>
      </c>
      <c r="AO105">
        <v>69.2</v>
      </c>
      <c r="AP105">
        <v>28.4</v>
      </c>
      <c r="AQ105">
        <v>24.2</v>
      </c>
      <c r="AR105">
        <v>59.3</v>
      </c>
      <c r="AS105" t="s">
        <v>56</v>
      </c>
      <c r="AT105" t="s">
        <v>55</v>
      </c>
      <c r="AU105" t="s">
        <v>81</v>
      </c>
      <c r="AV105">
        <v>3.9</v>
      </c>
      <c r="AW105">
        <v>0.32</v>
      </c>
    </row>
    <row r="106" spans="1:49" x14ac:dyDescent="0.25">
      <c r="A106" t="s">
        <v>101</v>
      </c>
      <c r="B106" t="s">
        <v>102</v>
      </c>
      <c r="C106" t="s">
        <v>51</v>
      </c>
      <c r="D106" t="s">
        <v>84</v>
      </c>
      <c r="E106">
        <v>2025</v>
      </c>
      <c r="F106">
        <v>1</v>
      </c>
      <c r="G106" t="s">
        <v>53</v>
      </c>
      <c r="H106">
        <v>8538</v>
      </c>
      <c r="I106">
        <v>8538</v>
      </c>
      <c r="J106">
        <v>7466</v>
      </c>
      <c r="K106">
        <v>0.25</v>
      </c>
      <c r="L106">
        <v>45.9</v>
      </c>
      <c r="M106">
        <v>34.5</v>
      </c>
      <c r="N106">
        <v>38.299999999999997</v>
      </c>
      <c r="O106">
        <v>28.6</v>
      </c>
      <c r="P106">
        <v>21.7</v>
      </c>
      <c r="Q106">
        <v>20.7</v>
      </c>
      <c r="R106">
        <v>15</v>
      </c>
      <c r="S106">
        <v>19.100000000000001</v>
      </c>
      <c r="T106">
        <v>8.6</v>
      </c>
      <c r="U106">
        <v>9.4</v>
      </c>
      <c r="V106">
        <v>8.4</v>
      </c>
      <c r="W106">
        <v>9.8000000000000007</v>
      </c>
      <c r="X106">
        <v>32.1</v>
      </c>
      <c r="Y106">
        <v>29.7</v>
      </c>
      <c r="Z106">
        <v>23.5</v>
      </c>
      <c r="AA106">
        <v>11.5</v>
      </c>
      <c r="AB106">
        <v>3.2</v>
      </c>
      <c r="AC106">
        <v>17</v>
      </c>
      <c r="AD106">
        <v>30.3</v>
      </c>
      <c r="AE106">
        <v>26.2</v>
      </c>
      <c r="AF106">
        <v>26.5</v>
      </c>
      <c r="AG106">
        <v>43.3</v>
      </c>
      <c r="AH106">
        <v>56.7</v>
      </c>
      <c r="AI106">
        <v>66.400000000000006</v>
      </c>
      <c r="AJ106">
        <v>33.6</v>
      </c>
      <c r="AK106">
        <v>41.9</v>
      </c>
      <c r="AL106">
        <v>42.5</v>
      </c>
      <c r="AM106">
        <v>41.5</v>
      </c>
      <c r="AN106" t="s">
        <v>73</v>
      </c>
      <c r="AO106">
        <v>74.7</v>
      </c>
      <c r="AP106">
        <v>24.2</v>
      </c>
      <c r="AQ106">
        <v>20.3</v>
      </c>
      <c r="AR106">
        <v>64.3</v>
      </c>
      <c r="AS106" t="s">
        <v>56</v>
      </c>
      <c r="AT106" t="s">
        <v>103</v>
      </c>
      <c r="AU106" t="s">
        <v>55</v>
      </c>
      <c r="AV106">
        <v>3.7</v>
      </c>
      <c r="AW106">
        <v>0.36</v>
      </c>
    </row>
    <row r="107" spans="1:49" x14ac:dyDescent="0.25">
      <c r="A107" t="s">
        <v>101</v>
      </c>
      <c r="B107" t="s">
        <v>102</v>
      </c>
      <c r="C107" t="s">
        <v>51</v>
      </c>
      <c r="D107" t="s">
        <v>84</v>
      </c>
      <c r="E107">
        <v>2025</v>
      </c>
      <c r="F107">
        <v>2</v>
      </c>
      <c r="G107" t="s">
        <v>58</v>
      </c>
      <c r="H107">
        <v>9260</v>
      </c>
      <c r="I107">
        <v>17798</v>
      </c>
      <c r="J107">
        <v>7689</v>
      </c>
      <c r="K107">
        <v>0.23</v>
      </c>
      <c r="L107">
        <v>46.9</v>
      </c>
      <c r="M107">
        <v>35.200000000000003</v>
      </c>
      <c r="N107">
        <v>37.1</v>
      </c>
      <c r="O107">
        <v>30.3</v>
      </c>
      <c r="P107">
        <v>20.6</v>
      </c>
      <c r="Q107">
        <v>19.399999999999999</v>
      </c>
      <c r="R107">
        <v>14.4</v>
      </c>
      <c r="S107">
        <v>20.8</v>
      </c>
      <c r="T107">
        <v>7.3</v>
      </c>
      <c r="U107">
        <v>9.1</v>
      </c>
      <c r="V107">
        <v>8.4</v>
      </c>
      <c r="W107">
        <v>11.1</v>
      </c>
      <c r="X107">
        <v>35.9</v>
      </c>
      <c r="Y107">
        <v>28.7</v>
      </c>
      <c r="Z107">
        <v>21.3</v>
      </c>
      <c r="AA107">
        <v>9.1999999999999993</v>
      </c>
      <c r="AB107">
        <v>5</v>
      </c>
      <c r="AC107">
        <v>19.8</v>
      </c>
      <c r="AD107">
        <v>34</v>
      </c>
      <c r="AE107">
        <v>30.7</v>
      </c>
      <c r="AF107">
        <v>15.6</v>
      </c>
      <c r="AG107">
        <v>41.6</v>
      </c>
      <c r="AH107">
        <v>58.4</v>
      </c>
      <c r="AI107">
        <v>68.099999999999994</v>
      </c>
      <c r="AJ107">
        <v>31.9</v>
      </c>
      <c r="AK107">
        <v>47.1</v>
      </c>
      <c r="AL107">
        <v>49.4</v>
      </c>
      <c r="AM107">
        <v>37.5</v>
      </c>
      <c r="AN107" t="s">
        <v>73</v>
      </c>
      <c r="AO107">
        <v>73.400000000000006</v>
      </c>
      <c r="AP107">
        <v>26.4</v>
      </c>
      <c r="AQ107">
        <v>30.2</v>
      </c>
      <c r="AR107">
        <v>71.3</v>
      </c>
      <c r="AS107" t="s">
        <v>56</v>
      </c>
      <c r="AT107" t="s">
        <v>103</v>
      </c>
      <c r="AU107" t="s">
        <v>55</v>
      </c>
      <c r="AV107">
        <v>3.9</v>
      </c>
      <c r="AW107">
        <v>0.4</v>
      </c>
    </row>
    <row r="108" spans="1:49" x14ac:dyDescent="0.25">
      <c r="A108" t="s">
        <v>101</v>
      </c>
      <c r="B108" t="s">
        <v>102</v>
      </c>
      <c r="C108" t="s">
        <v>51</v>
      </c>
      <c r="D108" t="s">
        <v>84</v>
      </c>
      <c r="E108">
        <v>2025</v>
      </c>
      <c r="F108">
        <v>3</v>
      </c>
      <c r="G108" t="s">
        <v>59</v>
      </c>
      <c r="H108">
        <v>9476</v>
      </c>
      <c r="I108">
        <v>27274</v>
      </c>
      <c r="J108">
        <v>8177</v>
      </c>
      <c r="K108">
        <v>0.28000000000000003</v>
      </c>
      <c r="L108">
        <v>46.4</v>
      </c>
      <c r="M108">
        <v>33.299999999999997</v>
      </c>
      <c r="N108">
        <v>38.1</v>
      </c>
      <c r="O108">
        <v>27.8</v>
      </c>
      <c r="P108">
        <v>21.9</v>
      </c>
      <c r="Q108">
        <v>17.7</v>
      </c>
      <c r="R108">
        <v>13.7</v>
      </c>
      <c r="S108">
        <v>21.1</v>
      </c>
      <c r="T108">
        <v>8.9</v>
      </c>
      <c r="U108">
        <v>9.5</v>
      </c>
      <c r="V108">
        <v>9.4</v>
      </c>
      <c r="W108">
        <v>11</v>
      </c>
      <c r="X108">
        <v>31.9</v>
      </c>
      <c r="Y108">
        <v>29.4</v>
      </c>
      <c r="Z108">
        <v>24</v>
      </c>
      <c r="AA108">
        <v>9.8000000000000007</v>
      </c>
      <c r="AB108">
        <v>5</v>
      </c>
      <c r="AC108">
        <v>19.8</v>
      </c>
      <c r="AD108">
        <v>32.700000000000003</v>
      </c>
      <c r="AE108">
        <v>28.5</v>
      </c>
      <c r="AF108">
        <v>19</v>
      </c>
      <c r="AG108">
        <v>41.5</v>
      </c>
      <c r="AH108">
        <v>58.5</v>
      </c>
      <c r="AI108">
        <v>66.7</v>
      </c>
      <c r="AJ108">
        <v>33.299999999999997</v>
      </c>
      <c r="AK108">
        <v>47.2</v>
      </c>
      <c r="AL108">
        <v>50.2</v>
      </c>
      <c r="AM108">
        <v>41.8</v>
      </c>
      <c r="AN108" t="s">
        <v>73</v>
      </c>
      <c r="AO108">
        <v>73.3</v>
      </c>
      <c r="AP108">
        <v>32.5</v>
      </c>
      <c r="AQ108">
        <v>29</v>
      </c>
      <c r="AR108">
        <v>66.099999999999994</v>
      </c>
      <c r="AS108" t="s">
        <v>56</v>
      </c>
      <c r="AT108" t="s">
        <v>103</v>
      </c>
      <c r="AU108" t="s">
        <v>55</v>
      </c>
      <c r="AV108">
        <v>3.7</v>
      </c>
      <c r="AW108">
        <v>0.3</v>
      </c>
    </row>
    <row r="109" spans="1:49" x14ac:dyDescent="0.25">
      <c r="A109" t="s">
        <v>101</v>
      </c>
      <c r="B109" t="s">
        <v>102</v>
      </c>
      <c r="C109" t="s">
        <v>51</v>
      </c>
      <c r="D109" t="s">
        <v>84</v>
      </c>
      <c r="E109">
        <v>2025</v>
      </c>
      <c r="F109">
        <v>4</v>
      </c>
      <c r="G109" t="s">
        <v>60</v>
      </c>
      <c r="H109">
        <v>9809</v>
      </c>
      <c r="I109">
        <v>37083</v>
      </c>
      <c r="J109">
        <v>8433</v>
      </c>
      <c r="K109">
        <v>0.24</v>
      </c>
      <c r="L109">
        <v>45.7</v>
      </c>
      <c r="M109">
        <v>36</v>
      </c>
      <c r="N109">
        <v>40.5</v>
      </c>
      <c r="O109">
        <v>29.1</v>
      </c>
      <c r="P109">
        <v>23.3</v>
      </c>
      <c r="Q109">
        <v>17.8</v>
      </c>
      <c r="R109">
        <v>13.3</v>
      </c>
      <c r="S109">
        <v>18.399999999999999</v>
      </c>
      <c r="T109">
        <v>7.1</v>
      </c>
      <c r="U109">
        <v>10.199999999999999</v>
      </c>
      <c r="V109">
        <v>10.8</v>
      </c>
      <c r="W109">
        <v>9.5</v>
      </c>
      <c r="X109">
        <v>33.700000000000003</v>
      </c>
      <c r="Y109">
        <v>28.8</v>
      </c>
      <c r="Z109">
        <v>22</v>
      </c>
      <c r="AA109">
        <v>10.5</v>
      </c>
      <c r="AB109">
        <v>5</v>
      </c>
      <c r="AC109">
        <v>17.600000000000001</v>
      </c>
      <c r="AD109">
        <v>32.6</v>
      </c>
      <c r="AE109">
        <v>26.8</v>
      </c>
      <c r="AF109">
        <v>23</v>
      </c>
      <c r="AG109">
        <v>40.700000000000003</v>
      </c>
      <c r="AH109">
        <v>59.3</v>
      </c>
      <c r="AI109">
        <v>67.5</v>
      </c>
      <c r="AJ109">
        <v>32.5</v>
      </c>
      <c r="AK109">
        <v>47.5</v>
      </c>
      <c r="AL109">
        <v>50.2</v>
      </c>
      <c r="AM109">
        <v>40.1</v>
      </c>
      <c r="AN109" t="s">
        <v>73</v>
      </c>
      <c r="AO109">
        <v>75.2</v>
      </c>
      <c r="AP109">
        <v>26.8</v>
      </c>
      <c r="AQ109">
        <v>28.8</v>
      </c>
      <c r="AR109">
        <v>67.2</v>
      </c>
      <c r="AS109" t="s">
        <v>56</v>
      </c>
      <c r="AT109" t="s">
        <v>103</v>
      </c>
      <c r="AU109" t="s">
        <v>55</v>
      </c>
      <c r="AV109">
        <v>4.4000000000000004</v>
      </c>
      <c r="AW109">
        <v>0.39</v>
      </c>
    </row>
    <row r="110" spans="1:49" x14ac:dyDescent="0.25">
      <c r="A110" t="s">
        <v>101</v>
      </c>
      <c r="B110" t="s">
        <v>102</v>
      </c>
      <c r="C110" t="s">
        <v>51</v>
      </c>
      <c r="D110" t="s">
        <v>84</v>
      </c>
      <c r="E110">
        <v>2025</v>
      </c>
      <c r="F110">
        <v>5</v>
      </c>
      <c r="G110" t="s">
        <v>61</v>
      </c>
      <c r="H110">
        <v>10656</v>
      </c>
      <c r="I110">
        <v>47739</v>
      </c>
      <c r="J110">
        <v>8946</v>
      </c>
      <c r="K110">
        <v>0.18</v>
      </c>
      <c r="L110">
        <v>47</v>
      </c>
      <c r="M110">
        <v>35.200000000000003</v>
      </c>
      <c r="N110">
        <v>39.299999999999997</v>
      </c>
      <c r="O110">
        <v>30</v>
      </c>
      <c r="P110">
        <v>21.4</v>
      </c>
      <c r="Q110">
        <v>20.6</v>
      </c>
      <c r="R110">
        <v>13.3</v>
      </c>
      <c r="S110">
        <v>17.8</v>
      </c>
      <c r="T110">
        <v>7.9</v>
      </c>
      <c r="U110">
        <v>11.1</v>
      </c>
      <c r="V110">
        <v>8.4</v>
      </c>
      <c r="W110">
        <v>10.4</v>
      </c>
      <c r="X110">
        <v>31.7</v>
      </c>
      <c r="Y110">
        <v>29.2</v>
      </c>
      <c r="Z110">
        <v>23.6</v>
      </c>
      <c r="AA110">
        <v>10.5</v>
      </c>
      <c r="AB110">
        <v>5</v>
      </c>
      <c r="AC110">
        <v>19.600000000000001</v>
      </c>
      <c r="AD110">
        <v>34.9</v>
      </c>
      <c r="AE110">
        <v>30.9</v>
      </c>
      <c r="AF110">
        <v>14.5</v>
      </c>
      <c r="AG110">
        <v>41.6</v>
      </c>
      <c r="AH110">
        <v>58.4</v>
      </c>
      <c r="AI110">
        <v>71.7</v>
      </c>
      <c r="AJ110">
        <v>28.3</v>
      </c>
      <c r="AK110">
        <v>45.5</v>
      </c>
      <c r="AL110">
        <v>46.6</v>
      </c>
      <c r="AM110">
        <v>37</v>
      </c>
      <c r="AN110" t="s">
        <v>73</v>
      </c>
      <c r="AO110">
        <v>71.400000000000006</v>
      </c>
      <c r="AP110">
        <v>26.9</v>
      </c>
      <c r="AQ110">
        <v>20.6</v>
      </c>
      <c r="AR110">
        <v>58.7</v>
      </c>
      <c r="AS110" t="s">
        <v>56</v>
      </c>
      <c r="AT110" t="s">
        <v>103</v>
      </c>
      <c r="AU110" t="s">
        <v>55</v>
      </c>
      <c r="AV110">
        <v>4.3</v>
      </c>
      <c r="AW110">
        <v>0.33</v>
      </c>
    </row>
    <row r="111" spans="1:49" x14ac:dyDescent="0.25">
      <c r="A111" t="s">
        <v>101</v>
      </c>
      <c r="B111" t="s">
        <v>102</v>
      </c>
      <c r="C111" t="s">
        <v>51</v>
      </c>
      <c r="D111" t="s">
        <v>84</v>
      </c>
      <c r="E111">
        <v>2025</v>
      </c>
      <c r="F111">
        <v>6</v>
      </c>
      <c r="G111" t="s">
        <v>62</v>
      </c>
      <c r="H111">
        <v>11520</v>
      </c>
      <c r="I111">
        <v>59259</v>
      </c>
      <c r="J111">
        <v>9694</v>
      </c>
      <c r="K111">
        <v>0.3</v>
      </c>
      <c r="L111">
        <v>47</v>
      </c>
      <c r="M111">
        <v>36.299999999999997</v>
      </c>
      <c r="N111">
        <v>38.6</v>
      </c>
      <c r="O111">
        <v>31.6</v>
      </c>
      <c r="P111">
        <v>22.6</v>
      </c>
      <c r="Q111">
        <v>17.5</v>
      </c>
      <c r="R111">
        <v>13</v>
      </c>
      <c r="S111">
        <v>19</v>
      </c>
      <c r="T111">
        <v>7.5</v>
      </c>
      <c r="U111">
        <v>11.4</v>
      </c>
      <c r="V111">
        <v>9</v>
      </c>
      <c r="W111">
        <v>9.6999999999999993</v>
      </c>
      <c r="X111">
        <v>34.9</v>
      </c>
      <c r="Y111">
        <v>28.6</v>
      </c>
      <c r="Z111">
        <v>21</v>
      </c>
      <c r="AA111">
        <v>10.5</v>
      </c>
      <c r="AB111">
        <v>5</v>
      </c>
      <c r="AC111">
        <v>19.600000000000001</v>
      </c>
      <c r="AD111">
        <v>30.7</v>
      </c>
      <c r="AE111">
        <v>30.7</v>
      </c>
      <c r="AF111">
        <v>19</v>
      </c>
      <c r="AG111">
        <v>44.1</v>
      </c>
      <c r="AH111">
        <v>55.9</v>
      </c>
      <c r="AI111">
        <v>67.3</v>
      </c>
      <c r="AJ111">
        <v>32.700000000000003</v>
      </c>
      <c r="AK111">
        <v>45.3</v>
      </c>
      <c r="AL111">
        <v>51.7</v>
      </c>
      <c r="AM111">
        <v>40.1</v>
      </c>
      <c r="AN111" t="s">
        <v>73</v>
      </c>
      <c r="AO111">
        <v>68.3</v>
      </c>
      <c r="AP111">
        <v>28.7</v>
      </c>
      <c r="AQ111">
        <v>24.9</v>
      </c>
      <c r="AR111">
        <v>60.3</v>
      </c>
      <c r="AS111" t="s">
        <v>56</v>
      </c>
      <c r="AT111" t="s">
        <v>103</v>
      </c>
      <c r="AU111" t="s">
        <v>55</v>
      </c>
      <c r="AV111">
        <v>4.5</v>
      </c>
      <c r="AW111">
        <v>0.31</v>
      </c>
    </row>
    <row r="112" spans="1:49" x14ac:dyDescent="0.25">
      <c r="A112" t="s">
        <v>101</v>
      </c>
      <c r="B112" t="s">
        <v>102</v>
      </c>
      <c r="C112" t="s">
        <v>51</v>
      </c>
      <c r="D112" t="s">
        <v>84</v>
      </c>
      <c r="E112">
        <v>2025</v>
      </c>
      <c r="F112">
        <v>7</v>
      </c>
      <c r="G112" t="s">
        <v>63</v>
      </c>
      <c r="H112">
        <v>11770</v>
      </c>
      <c r="I112">
        <v>71029</v>
      </c>
      <c r="J112">
        <v>9733</v>
      </c>
      <c r="K112">
        <v>0.27</v>
      </c>
      <c r="L112">
        <v>47.3</v>
      </c>
      <c r="M112">
        <v>34.799999999999997</v>
      </c>
      <c r="N112">
        <v>38.700000000000003</v>
      </c>
      <c r="O112">
        <v>30.9</v>
      </c>
      <c r="P112">
        <v>23.3</v>
      </c>
      <c r="Q112">
        <v>20</v>
      </c>
      <c r="R112">
        <v>15.1</v>
      </c>
      <c r="S112">
        <v>19.8</v>
      </c>
      <c r="T112">
        <v>7.2</v>
      </c>
      <c r="U112">
        <v>9.6999999999999993</v>
      </c>
      <c r="V112">
        <v>8.6</v>
      </c>
      <c r="W112">
        <v>9.6</v>
      </c>
      <c r="X112">
        <v>34.299999999999997</v>
      </c>
      <c r="Y112">
        <v>30.6</v>
      </c>
      <c r="Z112">
        <v>19.100000000000001</v>
      </c>
      <c r="AA112">
        <v>11</v>
      </c>
      <c r="AB112">
        <v>5</v>
      </c>
      <c r="AC112">
        <v>15.1</v>
      </c>
      <c r="AD112">
        <v>30.9</v>
      </c>
      <c r="AE112">
        <v>30.1</v>
      </c>
      <c r="AF112">
        <v>23.8</v>
      </c>
      <c r="AG112">
        <v>40.299999999999997</v>
      </c>
      <c r="AH112">
        <v>59.7</v>
      </c>
      <c r="AI112">
        <v>66.2</v>
      </c>
      <c r="AJ112">
        <v>33.799999999999997</v>
      </c>
      <c r="AK112">
        <v>44</v>
      </c>
      <c r="AL112">
        <v>49.3</v>
      </c>
      <c r="AM112">
        <v>43.6</v>
      </c>
      <c r="AN112" t="s">
        <v>73</v>
      </c>
      <c r="AO112">
        <v>69.3</v>
      </c>
      <c r="AP112">
        <v>34.299999999999997</v>
      </c>
      <c r="AQ112">
        <v>26.7</v>
      </c>
      <c r="AR112">
        <v>61.2</v>
      </c>
      <c r="AS112" t="s">
        <v>56</v>
      </c>
      <c r="AT112" t="s">
        <v>103</v>
      </c>
      <c r="AU112" t="s">
        <v>55</v>
      </c>
      <c r="AV112">
        <v>3.9</v>
      </c>
      <c r="AW112">
        <v>0.39</v>
      </c>
    </row>
    <row r="113" spans="1:49" x14ac:dyDescent="0.25">
      <c r="A113" t="s">
        <v>101</v>
      </c>
      <c r="B113" t="s">
        <v>102</v>
      </c>
      <c r="C113" t="s">
        <v>51</v>
      </c>
      <c r="D113" t="s">
        <v>84</v>
      </c>
      <c r="E113">
        <v>2025</v>
      </c>
      <c r="F113">
        <v>8</v>
      </c>
      <c r="G113" t="s">
        <v>64</v>
      </c>
      <c r="H113">
        <v>13343</v>
      </c>
      <c r="I113">
        <v>84372</v>
      </c>
      <c r="J113">
        <v>11674</v>
      </c>
      <c r="K113">
        <v>0.27</v>
      </c>
      <c r="L113">
        <v>46.4</v>
      </c>
      <c r="M113">
        <v>34.6</v>
      </c>
      <c r="N113">
        <v>39.6</v>
      </c>
      <c r="O113">
        <v>31.7</v>
      </c>
      <c r="P113">
        <v>23.8</v>
      </c>
      <c r="Q113">
        <v>19.600000000000001</v>
      </c>
      <c r="R113">
        <v>15.2</v>
      </c>
      <c r="S113">
        <v>17.7</v>
      </c>
      <c r="T113">
        <v>8.6</v>
      </c>
      <c r="U113">
        <v>10.5</v>
      </c>
      <c r="V113">
        <v>10.8</v>
      </c>
      <c r="W113">
        <v>9.8000000000000007</v>
      </c>
      <c r="X113">
        <v>35.299999999999997</v>
      </c>
      <c r="Y113">
        <v>27.5</v>
      </c>
      <c r="Z113">
        <v>23.1</v>
      </c>
      <c r="AA113">
        <v>11.4</v>
      </c>
      <c r="AB113">
        <v>2.7</v>
      </c>
      <c r="AC113">
        <v>17.100000000000001</v>
      </c>
      <c r="AD113">
        <v>31.9</v>
      </c>
      <c r="AE113">
        <v>28.9</v>
      </c>
      <c r="AF113">
        <v>22.2</v>
      </c>
      <c r="AG113">
        <v>42</v>
      </c>
      <c r="AH113">
        <v>58</v>
      </c>
      <c r="AI113">
        <v>62.4</v>
      </c>
      <c r="AJ113">
        <v>37.6</v>
      </c>
      <c r="AK113">
        <v>43.2</v>
      </c>
      <c r="AL113">
        <v>49.3</v>
      </c>
      <c r="AM113">
        <v>38.1</v>
      </c>
      <c r="AN113" t="s">
        <v>73</v>
      </c>
      <c r="AO113">
        <v>70.2</v>
      </c>
      <c r="AP113">
        <v>22.1</v>
      </c>
      <c r="AQ113">
        <v>31.7</v>
      </c>
      <c r="AR113">
        <v>71.5</v>
      </c>
      <c r="AS113" t="s">
        <v>56</v>
      </c>
      <c r="AT113" t="s">
        <v>103</v>
      </c>
      <c r="AU113" t="s">
        <v>55</v>
      </c>
      <c r="AV113">
        <v>4.4000000000000004</v>
      </c>
      <c r="AW113">
        <v>0.38</v>
      </c>
    </row>
    <row r="114" spans="1:49" x14ac:dyDescent="0.25">
      <c r="A114" t="s">
        <v>101</v>
      </c>
      <c r="B114" t="s">
        <v>102</v>
      </c>
      <c r="C114" t="s">
        <v>51</v>
      </c>
      <c r="D114" t="s">
        <v>84</v>
      </c>
      <c r="E114">
        <v>2025</v>
      </c>
      <c r="F114">
        <v>9</v>
      </c>
      <c r="G114" t="s">
        <v>65</v>
      </c>
      <c r="H114">
        <v>13955</v>
      </c>
      <c r="I114">
        <v>98327</v>
      </c>
      <c r="J114">
        <v>11778</v>
      </c>
      <c r="K114">
        <v>0.28999999999999998</v>
      </c>
      <c r="L114">
        <v>45.3</v>
      </c>
      <c r="M114">
        <v>34.799999999999997</v>
      </c>
      <c r="N114">
        <v>40</v>
      </c>
      <c r="O114">
        <v>31.9</v>
      </c>
      <c r="P114">
        <v>25.3</v>
      </c>
      <c r="Q114">
        <v>17.2</v>
      </c>
      <c r="R114">
        <v>15.5</v>
      </c>
      <c r="S114">
        <v>18.5</v>
      </c>
      <c r="T114">
        <v>8</v>
      </c>
      <c r="U114">
        <v>9.6</v>
      </c>
      <c r="V114">
        <v>9.1999999999999993</v>
      </c>
      <c r="W114">
        <v>10.199999999999999</v>
      </c>
      <c r="X114">
        <v>31.4</v>
      </c>
      <c r="Y114">
        <v>28.6</v>
      </c>
      <c r="Z114">
        <v>22.1</v>
      </c>
      <c r="AA114">
        <v>12.8</v>
      </c>
      <c r="AB114">
        <v>5</v>
      </c>
      <c r="AC114">
        <v>19.399999999999999</v>
      </c>
      <c r="AD114">
        <v>30.5</v>
      </c>
      <c r="AE114">
        <v>28</v>
      </c>
      <c r="AF114">
        <v>22.1</v>
      </c>
      <c r="AG114">
        <v>40.6</v>
      </c>
      <c r="AH114">
        <v>59.4</v>
      </c>
      <c r="AI114">
        <v>62.2</v>
      </c>
      <c r="AJ114">
        <v>37.799999999999997</v>
      </c>
      <c r="AK114">
        <v>40.200000000000003</v>
      </c>
      <c r="AL114">
        <v>50.3</v>
      </c>
      <c r="AM114">
        <v>43.8</v>
      </c>
      <c r="AN114" t="s">
        <v>73</v>
      </c>
      <c r="AO114">
        <v>73.3</v>
      </c>
      <c r="AP114">
        <v>30.4</v>
      </c>
      <c r="AQ114">
        <v>22</v>
      </c>
      <c r="AR114">
        <v>61.3</v>
      </c>
      <c r="AS114" t="s">
        <v>56</v>
      </c>
      <c r="AT114" t="s">
        <v>103</v>
      </c>
      <c r="AU114" t="s">
        <v>55</v>
      </c>
      <c r="AV114">
        <v>3.8</v>
      </c>
      <c r="AW114">
        <v>0.32</v>
      </c>
    </row>
    <row r="115" spans="1:49" x14ac:dyDescent="0.25">
      <c r="A115" t="s">
        <v>101</v>
      </c>
      <c r="B115" t="s">
        <v>102</v>
      </c>
      <c r="C115" t="s">
        <v>51</v>
      </c>
      <c r="D115" t="s">
        <v>84</v>
      </c>
      <c r="E115">
        <v>2025</v>
      </c>
      <c r="F115">
        <v>10</v>
      </c>
      <c r="G115" t="s">
        <v>66</v>
      </c>
      <c r="H115">
        <v>13792</v>
      </c>
      <c r="I115">
        <v>112119</v>
      </c>
      <c r="J115">
        <v>12076</v>
      </c>
      <c r="K115">
        <v>0.24</v>
      </c>
      <c r="L115">
        <v>44.7</v>
      </c>
      <c r="M115">
        <v>35.299999999999997</v>
      </c>
      <c r="N115">
        <v>39.299999999999997</v>
      </c>
      <c r="O115">
        <v>29.7</v>
      </c>
      <c r="P115">
        <v>25.2</v>
      </c>
      <c r="Q115">
        <v>16.7</v>
      </c>
      <c r="R115">
        <v>15.1</v>
      </c>
      <c r="S115">
        <v>17.899999999999999</v>
      </c>
      <c r="T115">
        <v>6.2</v>
      </c>
      <c r="U115">
        <v>10.7</v>
      </c>
      <c r="V115">
        <v>9.5</v>
      </c>
      <c r="W115">
        <v>11.2</v>
      </c>
      <c r="X115">
        <v>30.8</v>
      </c>
      <c r="Y115">
        <v>30.7</v>
      </c>
      <c r="Z115">
        <v>20</v>
      </c>
      <c r="AA115">
        <v>13.5</v>
      </c>
      <c r="AB115">
        <v>5</v>
      </c>
      <c r="AC115">
        <v>16.2</v>
      </c>
      <c r="AD115">
        <v>33.299999999999997</v>
      </c>
      <c r="AE115">
        <v>26.3</v>
      </c>
      <c r="AF115">
        <v>24.2</v>
      </c>
      <c r="AG115">
        <v>42.6</v>
      </c>
      <c r="AH115">
        <v>57.4</v>
      </c>
      <c r="AI115">
        <v>70.3</v>
      </c>
      <c r="AJ115">
        <v>29.7</v>
      </c>
      <c r="AK115">
        <v>47.4</v>
      </c>
      <c r="AL115">
        <v>43</v>
      </c>
      <c r="AM115">
        <v>39.1</v>
      </c>
      <c r="AN115" t="s">
        <v>73</v>
      </c>
      <c r="AO115">
        <v>74.400000000000006</v>
      </c>
      <c r="AP115">
        <v>25.1</v>
      </c>
      <c r="AQ115">
        <v>22.7</v>
      </c>
      <c r="AR115">
        <v>69.400000000000006</v>
      </c>
      <c r="AS115" t="s">
        <v>56</v>
      </c>
      <c r="AT115" t="s">
        <v>103</v>
      </c>
      <c r="AU115" t="s">
        <v>55</v>
      </c>
      <c r="AV115">
        <v>4</v>
      </c>
      <c r="AW115">
        <v>0.39</v>
      </c>
    </row>
    <row r="116" spans="1:49" x14ac:dyDescent="0.25">
      <c r="A116" t="s">
        <v>101</v>
      </c>
      <c r="B116" t="s">
        <v>102</v>
      </c>
      <c r="C116" t="s">
        <v>51</v>
      </c>
      <c r="D116" t="s">
        <v>84</v>
      </c>
      <c r="E116">
        <v>2025</v>
      </c>
      <c r="F116">
        <v>11</v>
      </c>
      <c r="G116" t="s">
        <v>67</v>
      </c>
      <c r="H116">
        <v>12540</v>
      </c>
      <c r="I116">
        <v>124659</v>
      </c>
      <c r="J116">
        <v>10441</v>
      </c>
      <c r="K116">
        <v>0.28999999999999998</v>
      </c>
      <c r="L116">
        <v>44.7</v>
      </c>
      <c r="M116">
        <v>34.5</v>
      </c>
      <c r="N116">
        <v>39.200000000000003</v>
      </c>
      <c r="O116">
        <v>31.5</v>
      </c>
      <c r="P116">
        <v>25.4</v>
      </c>
      <c r="Q116">
        <v>17.3</v>
      </c>
      <c r="R116">
        <v>14.4</v>
      </c>
      <c r="S116">
        <v>20.399999999999999</v>
      </c>
      <c r="T116">
        <v>8.4</v>
      </c>
      <c r="U116">
        <v>9.4</v>
      </c>
      <c r="V116">
        <v>8.6999999999999993</v>
      </c>
      <c r="W116">
        <v>10</v>
      </c>
      <c r="X116">
        <v>33.700000000000003</v>
      </c>
      <c r="Y116">
        <v>31.9</v>
      </c>
      <c r="Z116">
        <v>20.2</v>
      </c>
      <c r="AA116">
        <v>9.1999999999999993</v>
      </c>
      <c r="AB116">
        <v>5</v>
      </c>
      <c r="AC116">
        <v>16.399999999999999</v>
      </c>
      <c r="AD116">
        <v>34.200000000000003</v>
      </c>
      <c r="AE116">
        <v>27</v>
      </c>
      <c r="AF116">
        <v>22.5</v>
      </c>
      <c r="AG116">
        <v>43.8</v>
      </c>
      <c r="AH116">
        <v>56.2</v>
      </c>
      <c r="AI116">
        <v>64.599999999999994</v>
      </c>
      <c r="AJ116">
        <v>35.4</v>
      </c>
      <c r="AK116">
        <v>43.3</v>
      </c>
      <c r="AL116">
        <v>44.4</v>
      </c>
      <c r="AM116">
        <v>41.1</v>
      </c>
      <c r="AN116" t="s">
        <v>73</v>
      </c>
      <c r="AO116">
        <v>75.099999999999994</v>
      </c>
      <c r="AP116">
        <v>34.5</v>
      </c>
      <c r="AQ116">
        <v>23.6</v>
      </c>
      <c r="AR116">
        <v>61.2</v>
      </c>
      <c r="AS116" t="s">
        <v>56</v>
      </c>
      <c r="AT116" t="s">
        <v>103</v>
      </c>
      <c r="AU116" t="s">
        <v>55</v>
      </c>
      <c r="AV116">
        <v>4.5999999999999996</v>
      </c>
      <c r="AW116">
        <v>0.37</v>
      </c>
    </row>
    <row r="117" spans="1:49" x14ac:dyDescent="0.25">
      <c r="A117" t="s">
        <v>101</v>
      </c>
      <c r="B117" t="s">
        <v>102</v>
      </c>
      <c r="C117" t="s">
        <v>51</v>
      </c>
      <c r="D117" t="s">
        <v>84</v>
      </c>
      <c r="E117">
        <v>2025</v>
      </c>
      <c r="F117">
        <v>12</v>
      </c>
      <c r="G117" t="s">
        <v>68</v>
      </c>
      <c r="H117">
        <v>14565</v>
      </c>
      <c r="I117">
        <v>139224</v>
      </c>
      <c r="J117">
        <v>12290</v>
      </c>
      <c r="K117">
        <v>0.2</v>
      </c>
      <c r="L117">
        <v>46.7</v>
      </c>
      <c r="M117">
        <v>34.299999999999997</v>
      </c>
      <c r="N117">
        <v>39.1</v>
      </c>
      <c r="O117">
        <v>30.5</v>
      </c>
      <c r="P117">
        <v>27.7</v>
      </c>
      <c r="Q117">
        <v>17.3</v>
      </c>
      <c r="R117">
        <v>15.7</v>
      </c>
      <c r="S117">
        <v>20.9</v>
      </c>
      <c r="T117">
        <v>8.5</v>
      </c>
      <c r="U117">
        <v>10.9</v>
      </c>
      <c r="V117">
        <v>10</v>
      </c>
      <c r="W117">
        <v>11.2</v>
      </c>
      <c r="X117">
        <v>32.5</v>
      </c>
      <c r="Y117">
        <v>30.3</v>
      </c>
      <c r="Z117">
        <v>21</v>
      </c>
      <c r="AA117">
        <v>11.1</v>
      </c>
      <c r="AB117">
        <v>5</v>
      </c>
      <c r="AC117">
        <v>16</v>
      </c>
      <c r="AD117">
        <v>33.4</v>
      </c>
      <c r="AE117">
        <v>30.3</v>
      </c>
      <c r="AF117">
        <v>20.399999999999999</v>
      </c>
      <c r="AG117">
        <v>41.2</v>
      </c>
      <c r="AH117">
        <v>58.8</v>
      </c>
      <c r="AI117">
        <v>71.3</v>
      </c>
      <c r="AJ117">
        <v>28.7</v>
      </c>
      <c r="AK117">
        <v>40.1</v>
      </c>
      <c r="AL117">
        <v>50.2</v>
      </c>
      <c r="AM117">
        <v>35.4</v>
      </c>
      <c r="AN117" t="s">
        <v>73</v>
      </c>
      <c r="AO117">
        <v>73.5</v>
      </c>
      <c r="AP117">
        <v>33.5</v>
      </c>
      <c r="AQ117">
        <v>26.7</v>
      </c>
      <c r="AR117">
        <v>68.900000000000006</v>
      </c>
      <c r="AS117" t="s">
        <v>56</v>
      </c>
      <c r="AT117" t="s">
        <v>103</v>
      </c>
      <c r="AU117" t="s">
        <v>55</v>
      </c>
      <c r="AV117">
        <v>4.7</v>
      </c>
      <c r="AW117">
        <v>0.4</v>
      </c>
    </row>
    <row r="118" spans="1:49" x14ac:dyDescent="0.25">
      <c r="A118" t="s">
        <v>101</v>
      </c>
      <c r="B118" t="s">
        <v>102</v>
      </c>
      <c r="C118" t="s">
        <v>51</v>
      </c>
      <c r="D118" t="s">
        <v>84</v>
      </c>
      <c r="E118">
        <v>2026</v>
      </c>
      <c r="F118">
        <v>1</v>
      </c>
      <c r="G118" t="s">
        <v>69</v>
      </c>
      <c r="H118">
        <v>13788</v>
      </c>
      <c r="I118">
        <v>153012</v>
      </c>
      <c r="J118">
        <v>11480</v>
      </c>
      <c r="K118">
        <v>0.28999999999999998</v>
      </c>
      <c r="L118">
        <v>45.3</v>
      </c>
      <c r="M118">
        <v>34.799999999999997</v>
      </c>
      <c r="N118">
        <v>38.700000000000003</v>
      </c>
      <c r="O118">
        <v>34.4</v>
      </c>
      <c r="P118">
        <v>26.8</v>
      </c>
      <c r="Q118">
        <v>20.100000000000001</v>
      </c>
      <c r="R118">
        <v>13.7</v>
      </c>
      <c r="S118">
        <v>20.3</v>
      </c>
      <c r="T118">
        <v>7.9</v>
      </c>
      <c r="U118">
        <v>10.7</v>
      </c>
      <c r="V118">
        <v>10.3</v>
      </c>
      <c r="W118">
        <v>10.6</v>
      </c>
      <c r="X118">
        <v>31.2</v>
      </c>
      <c r="Y118">
        <v>31.3</v>
      </c>
      <c r="Z118">
        <v>20.100000000000001</v>
      </c>
      <c r="AA118">
        <v>12.5</v>
      </c>
      <c r="AB118">
        <v>5</v>
      </c>
      <c r="AC118">
        <v>15.4</v>
      </c>
      <c r="AD118">
        <v>33.799999999999997</v>
      </c>
      <c r="AE118">
        <v>29.7</v>
      </c>
      <c r="AF118">
        <v>21.1</v>
      </c>
      <c r="AG118">
        <v>41.3</v>
      </c>
      <c r="AH118">
        <v>58.7</v>
      </c>
      <c r="AI118">
        <v>62.6</v>
      </c>
      <c r="AJ118">
        <v>37.4</v>
      </c>
      <c r="AK118">
        <v>45.9</v>
      </c>
      <c r="AL118">
        <v>45.4</v>
      </c>
      <c r="AM118">
        <v>39.299999999999997</v>
      </c>
      <c r="AN118" t="s">
        <v>73</v>
      </c>
      <c r="AO118">
        <v>69</v>
      </c>
      <c r="AP118">
        <v>30.5</v>
      </c>
      <c r="AQ118">
        <v>30.2</v>
      </c>
      <c r="AR118">
        <v>58.6</v>
      </c>
      <c r="AS118" t="s">
        <v>56</v>
      </c>
      <c r="AT118" t="s">
        <v>103</v>
      </c>
      <c r="AU118" t="s">
        <v>55</v>
      </c>
      <c r="AV118">
        <v>4.7</v>
      </c>
      <c r="AW118">
        <v>0.33</v>
      </c>
    </row>
    <row r="119" spans="1:49" x14ac:dyDescent="0.25">
      <c r="A119" t="s">
        <v>104</v>
      </c>
      <c r="B119" t="s">
        <v>105</v>
      </c>
      <c r="C119" t="s">
        <v>106</v>
      </c>
      <c r="D119" t="s">
        <v>106</v>
      </c>
      <c r="E119">
        <v>2025</v>
      </c>
      <c r="F119">
        <v>1</v>
      </c>
      <c r="G119" t="s">
        <v>53</v>
      </c>
      <c r="H119">
        <v>19263</v>
      </c>
      <c r="I119">
        <v>19263</v>
      </c>
      <c r="J119">
        <v>15811</v>
      </c>
      <c r="K119">
        <v>0.19</v>
      </c>
      <c r="L119">
        <v>45.3</v>
      </c>
      <c r="M119">
        <v>31.2</v>
      </c>
      <c r="N119">
        <v>44.5</v>
      </c>
      <c r="O119">
        <v>34.4</v>
      </c>
      <c r="P119">
        <v>27.4</v>
      </c>
      <c r="Q119">
        <v>19.5</v>
      </c>
      <c r="R119">
        <v>15.4</v>
      </c>
      <c r="S119">
        <v>20.8</v>
      </c>
      <c r="T119">
        <v>6.9</v>
      </c>
      <c r="U119">
        <v>14.6</v>
      </c>
      <c r="V119">
        <v>11</v>
      </c>
      <c r="W119">
        <v>14.7</v>
      </c>
      <c r="X119">
        <v>31.6</v>
      </c>
      <c r="Y119">
        <v>28.8</v>
      </c>
      <c r="Z119">
        <v>23.9</v>
      </c>
      <c r="AA119">
        <v>10.7</v>
      </c>
      <c r="AB119">
        <v>5</v>
      </c>
      <c r="AC119">
        <v>19.5</v>
      </c>
      <c r="AD119">
        <v>32.4</v>
      </c>
      <c r="AE119">
        <v>26.7</v>
      </c>
      <c r="AF119">
        <v>21.3</v>
      </c>
      <c r="AG119">
        <v>44.3</v>
      </c>
      <c r="AH119">
        <v>55.7</v>
      </c>
      <c r="AI119">
        <v>64.900000000000006</v>
      </c>
      <c r="AJ119">
        <v>35.1</v>
      </c>
      <c r="AK119">
        <v>45.4</v>
      </c>
      <c r="AL119">
        <v>48.8</v>
      </c>
      <c r="AM119">
        <v>43.5</v>
      </c>
      <c r="AN119" t="s">
        <v>94</v>
      </c>
      <c r="AO119">
        <v>72.2</v>
      </c>
      <c r="AP119">
        <v>31.8</v>
      </c>
      <c r="AQ119">
        <v>30.8</v>
      </c>
      <c r="AR119">
        <v>69.099999999999994</v>
      </c>
      <c r="AS119" t="s">
        <v>55</v>
      </c>
      <c r="AT119" t="s">
        <v>76</v>
      </c>
      <c r="AU119" t="s">
        <v>107</v>
      </c>
      <c r="AV119">
        <v>4</v>
      </c>
      <c r="AW119">
        <v>0.3</v>
      </c>
    </row>
    <row r="120" spans="1:49" x14ac:dyDescent="0.25">
      <c r="A120" t="s">
        <v>104</v>
      </c>
      <c r="B120" t="s">
        <v>105</v>
      </c>
      <c r="C120" t="s">
        <v>106</v>
      </c>
      <c r="D120" t="s">
        <v>106</v>
      </c>
      <c r="E120">
        <v>2025</v>
      </c>
      <c r="F120">
        <v>2</v>
      </c>
      <c r="G120" t="s">
        <v>58</v>
      </c>
      <c r="H120">
        <v>20099</v>
      </c>
      <c r="I120">
        <v>39362</v>
      </c>
      <c r="J120">
        <v>16743</v>
      </c>
      <c r="K120">
        <v>0.27</v>
      </c>
      <c r="L120">
        <v>46.4</v>
      </c>
      <c r="M120">
        <v>29.6</v>
      </c>
      <c r="N120">
        <v>45.9</v>
      </c>
      <c r="O120">
        <v>33.799999999999997</v>
      </c>
      <c r="P120">
        <v>29.8</v>
      </c>
      <c r="Q120">
        <v>20.5</v>
      </c>
      <c r="R120">
        <v>14.4</v>
      </c>
      <c r="S120">
        <v>18</v>
      </c>
      <c r="T120">
        <v>7</v>
      </c>
      <c r="U120">
        <v>14.4</v>
      </c>
      <c r="V120">
        <v>12.1</v>
      </c>
      <c r="W120">
        <v>14.8</v>
      </c>
      <c r="X120">
        <v>31.7</v>
      </c>
      <c r="Y120">
        <v>30.7</v>
      </c>
      <c r="Z120">
        <v>23</v>
      </c>
      <c r="AA120">
        <v>9.6</v>
      </c>
      <c r="AB120">
        <v>5</v>
      </c>
      <c r="AC120">
        <v>14</v>
      </c>
      <c r="AD120">
        <v>34.299999999999997</v>
      </c>
      <c r="AE120">
        <v>27.8</v>
      </c>
      <c r="AF120">
        <v>23.9</v>
      </c>
      <c r="AG120">
        <v>41.5</v>
      </c>
      <c r="AH120">
        <v>58.5</v>
      </c>
      <c r="AI120">
        <v>62.1</v>
      </c>
      <c r="AJ120">
        <v>37.9</v>
      </c>
      <c r="AK120">
        <v>44.1</v>
      </c>
      <c r="AL120">
        <v>42.9</v>
      </c>
      <c r="AM120">
        <v>39.9</v>
      </c>
      <c r="AN120" t="s">
        <v>94</v>
      </c>
      <c r="AO120">
        <v>72.3</v>
      </c>
      <c r="AP120">
        <v>33.9</v>
      </c>
      <c r="AQ120">
        <v>31.5</v>
      </c>
      <c r="AR120">
        <v>65.900000000000006</v>
      </c>
      <c r="AS120" t="s">
        <v>55</v>
      </c>
      <c r="AT120" t="s">
        <v>76</v>
      </c>
      <c r="AU120" t="s">
        <v>107</v>
      </c>
      <c r="AV120">
        <v>4.0999999999999996</v>
      </c>
      <c r="AW120">
        <v>0.36</v>
      </c>
    </row>
    <row r="121" spans="1:49" x14ac:dyDescent="0.25">
      <c r="A121" t="s">
        <v>104</v>
      </c>
      <c r="B121" t="s">
        <v>105</v>
      </c>
      <c r="C121" t="s">
        <v>106</v>
      </c>
      <c r="D121" t="s">
        <v>106</v>
      </c>
      <c r="E121">
        <v>2025</v>
      </c>
      <c r="F121">
        <v>3</v>
      </c>
      <c r="G121" t="s">
        <v>59</v>
      </c>
      <c r="H121">
        <v>21953</v>
      </c>
      <c r="I121">
        <v>61315</v>
      </c>
      <c r="J121">
        <v>18317</v>
      </c>
      <c r="K121">
        <v>0.19</v>
      </c>
      <c r="L121">
        <v>45.4</v>
      </c>
      <c r="M121">
        <v>31.9</v>
      </c>
      <c r="N121">
        <v>47</v>
      </c>
      <c r="O121">
        <v>34.6</v>
      </c>
      <c r="P121">
        <v>29.6</v>
      </c>
      <c r="Q121">
        <v>21.8</v>
      </c>
      <c r="R121">
        <v>16.399999999999999</v>
      </c>
      <c r="S121">
        <v>19.399999999999999</v>
      </c>
      <c r="T121">
        <v>9.1</v>
      </c>
      <c r="U121">
        <v>12.9</v>
      </c>
      <c r="V121">
        <v>10.199999999999999</v>
      </c>
      <c r="W121">
        <v>13.9</v>
      </c>
      <c r="X121">
        <v>34.5</v>
      </c>
      <c r="Y121">
        <v>28.7</v>
      </c>
      <c r="Z121">
        <v>19.600000000000001</v>
      </c>
      <c r="AA121">
        <v>12.2</v>
      </c>
      <c r="AB121">
        <v>5</v>
      </c>
      <c r="AC121">
        <v>14.8</v>
      </c>
      <c r="AD121">
        <v>33.5</v>
      </c>
      <c r="AE121">
        <v>29.5</v>
      </c>
      <c r="AF121">
        <v>22.3</v>
      </c>
      <c r="AG121">
        <v>44.2</v>
      </c>
      <c r="AH121">
        <v>55.8</v>
      </c>
      <c r="AI121">
        <v>69.5</v>
      </c>
      <c r="AJ121">
        <v>30.5</v>
      </c>
      <c r="AK121">
        <v>41.5</v>
      </c>
      <c r="AL121">
        <v>42.3</v>
      </c>
      <c r="AM121">
        <v>37.6</v>
      </c>
      <c r="AN121" t="s">
        <v>94</v>
      </c>
      <c r="AO121">
        <v>75</v>
      </c>
      <c r="AP121">
        <v>29</v>
      </c>
      <c r="AQ121">
        <v>28.8</v>
      </c>
      <c r="AR121">
        <v>66.7</v>
      </c>
      <c r="AS121" t="s">
        <v>55</v>
      </c>
      <c r="AT121" t="s">
        <v>76</v>
      </c>
      <c r="AU121" t="s">
        <v>107</v>
      </c>
      <c r="AV121">
        <v>4.0999999999999996</v>
      </c>
      <c r="AW121">
        <v>0.36</v>
      </c>
    </row>
    <row r="122" spans="1:49" x14ac:dyDescent="0.25">
      <c r="A122" t="s">
        <v>104</v>
      </c>
      <c r="B122" t="s">
        <v>105</v>
      </c>
      <c r="C122" t="s">
        <v>106</v>
      </c>
      <c r="D122" t="s">
        <v>106</v>
      </c>
      <c r="E122">
        <v>2025</v>
      </c>
      <c r="F122">
        <v>4</v>
      </c>
      <c r="G122" t="s">
        <v>60</v>
      </c>
      <c r="H122">
        <v>23602</v>
      </c>
      <c r="I122">
        <v>84917</v>
      </c>
      <c r="J122">
        <v>19631</v>
      </c>
      <c r="K122">
        <v>0.2</v>
      </c>
      <c r="L122">
        <v>47.4</v>
      </c>
      <c r="M122">
        <v>29.4</v>
      </c>
      <c r="N122">
        <v>45.6</v>
      </c>
      <c r="O122">
        <v>35.299999999999997</v>
      </c>
      <c r="P122">
        <v>28.2</v>
      </c>
      <c r="Q122">
        <v>18.5</v>
      </c>
      <c r="R122">
        <v>13.7</v>
      </c>
      <c r="S122">
        <v>17.399999999999999</v>
      </c>
      <c r="T122">
        <v>8.3000000000000007</v>
      </c>
      <c r="U122">
        <v>12.6</v>
      </c>
      <c r="V122">
        <v>11.2</v>
      </c>
      <c r="W122">
        <v>14.8</v>
      </c>
      <c r="X122">
        <v>33.1</v>
      </c>
      <c r="Y122">
        <v>31</v>
      </c>
      <c r="Z122">
        <v>20.399999999999999</v>
      </c>
      <c r="AA122">
        <v>10.5</v>
      </c>
      <c r="AB122">
        <v>5</v>
      </c>
      <c r="AC122">
        <v>17.7</v>
      </c>
      <c r="AD122">
        <v>35.4</v>
      </c>
      <c r="AE122">
        <v>30</v>
      </c>
      <c r="AF122">
        <v>16.899999999999999</v>
      </c>
      <c r="AG122">
        <v>43.5</v>
      </c>
      <c r="AH122">
        <v>56.5</v>
      </c>
      <c r="AI122">
        <v>69.3</v>
      </c>
      <c r="AJ122">
        <v>30.7</v>
      </c>
      <c r="AK122">
        <v>45.6</v>
      </c>
      <c r="AL122">
        <v>47.6</v>
      </c>
      <c r="AM122">
        <v>38.200000000000003</v>
      </c>
      <c r="AN122" t="s">
        <v>94</v>
      </c>
      <c r="AO122">
        <v>70.900000000000006</v>
      </c>
      <c r="AP122">
        <v>31</v>
      </c>
      <c r="AQ122">
        <v>25.6</v>
      </c>
      <c r="AR122">
        <v>60.7</v>
      </c>
      <c r="AS122" t="s">
        <v>55</v>
      </c>
      <c r="AT122" t="s">
        <v>76</v>
      </c>
      <c r="AU122" t="s">
        <v>107</v>
      </c>
      <c r="AV122">
        <v>4.7</v>
      </c>
      <c r="AW122">
        <v>0.3</v>
      </c>
    </row>
    <row r="123" spans="1:49" x14ac:dyDescent="0.25">
      <c r="A123" t="s">
        <v>104</v>
      </c>
      <c r="B123" t="s">
        <v>105</v>
      </c>
      <c r="C123" t="s">
        <v>106</v>
      </c>
      <c r="D123" t="s">
        <v>106</v>
      </c>
      <c r="E123">
        <v>2025</v>
      </c>
      <c r="F123">
        <v>5</v>
      </c>
      <c r="G123" t="s">
        <v>61</v>
      </c>
      <c r="H123">
        <v>22849</v>
      </c>
      <c r="I123">
        <v>107766</v>
      </c>
      <c r="J123">
        <v>18814</v>
      </c>
      <c r="K123">
        <v>0.28999999999999998</v>
      </c>
      <c r="L123">
        <v>46.6</v>
      </c>
      <c r="M123">
        <v>29.4</v>
      </c>
      <c r="N123">
        <v>45</v>
      </c>
      <c r="O123">
        <v>36.4</v>
      </c>
      <c r="P123">
        <v>30.1</v>
      </c>
      <c r="Q123">
        <v>19.899999999999999</v>
      </c>
      <c r="R123">
        <v>16.2</v>
      </c>
      <c r="S123">
        <v>16.2</v>
      </c>
      <c r="T123">
        <v>7.1</v>
      </c>
      <c r="U123">
        <v>13.7</v>
      </c>
      <c r="V123">
        <v>12.2</v>
      </c>
      <c r="W123">
        <v>14</v>
      </c>
      <c r="X123">
        <v>32.299999999999997</v>
      </c>
      <c r="Y123">
        <v>30.2</v>
      </c>
      <c r="Z123">
        <v>20.2</v>
      </c>
      <c r="AA123">
        <v>12.3</v>
      </c>
      <c r="AB123">
        <v>5</v>
      </c>
      <c r="AC123">
        <v>20</v>
      </c>
      <c r="AD123">
        <v>32.700000000000003</v>
      </c>
      <c r="AE123">
        <v>27.8</v>
      </c>
      <c r="AF123">
        <v>19.5</v>
      </c>
      <c r="AG123">
        <v>42.4</v>
      </c>
      <c r="AH123">
        <v>57.6</v>
      </c>
      <c r="AI123">
        <v>63.2</v>
      </c>
      <c r="AJ123">
        <v>36.799999999999997</v>
      </c>
      <c r="AK123">
        <v>43.5</v>
      </c>
      <c r="AL123">
        <v>48.5</v>
      </c>
      <c r="AM123">
        <v>35.6</v>
      </c>
      <c r="AN123" t="s">
        <v>94</v>
      </c>
      <c r="AO123">
        <v>75.099999999999994</v>
      </c>
      <c r="AP123">
        <v>27.8</v>
      </c>
      <c r="AQ123">
        <v>24.6</v>
      </c>
      <c r="AR123">
        <v>67.2</v>
      </c>
      <c r="AS123" t="s">
        <v>55</v>
      </c>
      <c r="AT123" t="s">
        <v>76</v>
      </c>
      <c r="AU123" t="s">
        <v>107</v>
      </c>
      <c r="AV123">
        <v>4.5999999999999996</v>
      </c>
      <c r="AW123">
        <v>0.39</v>
      </c>
    </row>
    <row r="124" spans="1:49" x14ac:dyDescent="0.25">
      <c r="A124" t="s">
        <v>104</v>
      </c>
      <c r="B124" t="s">
        <v>105</v>
      </c>
      <c r="C124" t="s">
        <v>106</v>
      </c>
      <c r="D124" t="s">
        <v>106</v>
      </c>
      <c r="E124">
        <v>2025</v>
      </c>
      <c r="F124">
        <v>6</v>
      </c>
      <c r="G124" t="s">
        <v>62</v>
      </c>
      <c r="H124">
        <v>25324</v>
      </c>
      <c r="I124">
        <v>133090</v>
      </c>
      <c r="J124">
        <v>22216</v>
      </c>
      <c r="K124">
        <v>0.2</v>
      </c>
      <c r="L124">
        <v>45.9</v>
      </c>
      <c r="M124">
        <v>32.700000000000003</v>
      </c>
      <c r="N124">
        <v>45.2</v>
      </c>
      <c r="O124">
        <v>35.1</v>
      </c>
      <c r="P124">
        <v>29.2</v>
      </c>
      <c r="Q124">
        <v>19.899999999999999</v>
      </c>
      <c r="R124">
        <v>13.9</v>
      </c>
      <c r="S124">
        <v>18.399999999999999</v>
      </c>
      <c r="T124">
        <v>7.3</v>
      </c>
      <c r="U124">
        <v>12.1</v>
      </c>
      <c r="V124">
        <v>11</v>
      </c>
      <c r="W124">
        <v>14</v>
      </c>
      <c r="X124">
        <v>32.6</v>
      </c>
      <c r="Y124">
        <v>28.1</v>
      </c>
      <c r="Z124">
        <v>22.8</v>
      </c>
      <c r="AA124">
        <v>11.7</v>
      </c>
      <c r="AB124">
        <v>4.8</v>
      </c>
      <c r="AC124">
        <v>14.5</v>
      </c>
      <c r="AD124">
        <v>33.4</v>
      </c>
      <c r="AE124">
        <v>30.5</v>
      </c>
      <c r="AF124">
        <v>21.6</v>
      </c>
      <c r="AG124">
        <v>42.4</v>
      </c>
      <c r="AH124">
        <v>57.6</v>
      </c>
      <c r="AI124">
        <v>65</v>
      </c>
      <c r="AJ124">
        <v>35</v>
      </c>
      <c r="AK124">
        <v>40.6</v>
      </c>
      <c r="AL124">
        <v>51.4</v>
      </c>
      <c r="AM124">
        <v>41.8</v>
      </c>
      <c r="AN124" t="s">
        <v>94</v>
      </c>
      <c r="AO124">
        <v>69.099999999999994</v>
      </c>
      <c r="AP124">
        <v>24.1</v>
      </c>
      <c r="AQ124">
        <v>25.2</v>
      </c>
      <c r="AR124">
        <v>66.3</v>
      </c>
      <c r="AS124" t="s">
        <v>55</v>
      </c>
      <c r="AT124" t="s">
        <v>76</v>
      </c>
      <c r="AU124" t="s">
        <v>107</v>
      </c>
      <c r="AV124">
        <v>4.3</v>
      </c>
      <c r="AW124">
        <v>0.38</v>
      </c>
    </row>
    <row r="125" spans="1:49" x14ac:dyDescent="0.25">
      <c r="A125" t="s">
        <v>104</v>
      </c>
      <c r="B125" t="s">
        <v>105</v>
      </c>
      <c r="C125" t="s">
        <v>106</v>
      </c>
      <c r="D125" t="s">
        <v>106</v>
      </c>
      <c r="E125">
        <v>2025</v>
      </c>
      <c r="F125">
        <v>7</v>
      </c>
      <c r="G125" t="s">
        <v>63</v>
      </c>
      <c r="H125">
        <v>24185</v>
      </c>
      <c r="I125">
        <v>157275</v>
      </c>
      <c r="J125">
        <v>20523</v>
      </c>
      <c r="K125">
        <v>0.27</v>
      </c>
      <c r="L125">
        <v>47</v>
      </c>
      <c r="M125">
        <v>32.9</v>
      </c>
      <c r="N125">
        <v>47.5</v>
      </c>
      <c r="O125">
        <v>34.5</v>
      </c>
      <c r="P125">
        <v>32.6</v>
      </c>
      <c r="Q125">
        <v>22.2</v>
      </c>
      <c r="R125">
        <v>13.9</v>
      </c>
      <c r="S125">
        <v>18.5</v>
      </c>
      <c r="T125">
        <v>6.8</v>
      </c>
      <c r="U125">
        <v>13.1</v>
      </c>
      <c r="V125">
        <v>10.8</v>
      </c>
      <c r="W125">
        <v>14</v>
      </c>
      <c r="X125">
        <v>33</v>
      </c>
      <c r="Y125">
        <v>28.6</v>
      </c>
      <c r="Z125">
        <v>22.6</v>
      </c>
      <c r="AA125">
        <v>13.8</v>
      </c>
      <c r="AB125">
        <v>2</v>
      </c>
      <c r="AC125">
        <v>14.1</v>
      </c>
      <c r="AD125">
        <v>35.9</v>
      </c>
      <c r="AE125">
        <v>26.4</v>
      </c>
      <c r="AF125">
        <v>23.5</v>
      </c>
      <c r="AG125">
        <v>44.9</v>
      </c>
      <c r="AH125">
        <v>55.1</v>
      </c>
      <c r="AI125">
        <v>64.8</v>
      </c>
      <c r="AJ125">
        <v>35.200000000000003</v>
      </c>
      <c r="AK125">
        <v>40.4</v>
      </c>
      <c r="AL125">
        <v>48</v>
      </c>
      <c r="AM125">
        <v>43.1</v>
      </c>
      <c r="AN125" t="s">
        <v>94</v>
      </c>
      <c r="AO125">
        <v>69.099999999999994</v>
      </c>
      <c r="AP125">
        <v>28.2</v>
      </c>
      <c r="AQ125">
        <v>27.7</v>
      </c>
      <c r="AR125">
        <v>63.3</v>
      </c>
      <c r="AS125" t="s">
        <v>55</v>
      </c>
      <c r="AT125" t="s">
        <v>76</v>
      </c>
      <c r="AU125" t="s">
        <v>107</v>
      </c>
      <c r="AV125">
        <v>4.0999999999999996</v>
      </c>
      <c r="AW125">
        <v>0.32</v>
      </c>
    </row>
    <row r="126" spans="1:49" x14ac:dyDescent="0.25">
      <c r="A126" t="s">
        <v>104</v>
      </c>
      <c r="B126" t="s">
        <v>105</v>
      </c>
      <c r="C126" t="s">
        <v>106</v>
      </c>
      <c r="D126" t="s">
        <v>106</v>
      </c>
      <c r="E126">
        <v>2025</v>
      </c>
      <c r="F126">
        <v>8</v>
      </c>
      <c r="G126" t="s">
        <v>64</v>
      </c>
      <c r="H126">
        <v>26870</v>
      </c>
      <c r="I126">
        <v>184145</v>
      </c>
      <c r="J126">
        <v>22111</v>
      </c>
      <c r="K126">
        <v>0.28999999999999998</v>
      </c>
      <c r="L126">
        <v>47</v>
      </c>
      <c r="M126">
        <v>30.1</v>
      </c>
      <c r="N126">
        <v>47</v>
      </c>
      <c r="O126">
        <v>36.5</v>
      </c>
      <c r="P126">
        <v>32.799999999999997</v>
      </c>
      <c r="Q126">
        <v>20.8</v>
      </c>
      <c r="R126">
        <v>15.8</v>
      </c>
      <c r="S126">
        <v>17.899999999999999</v>
      </c>
      <c r="T126">
        <v>7.9</v>
      </c>
      <c r="U126">
        <v>14.8</v>
      </c>
      <c r="V126">
        <v>10.9</v>
      </c>
      <c r="W126">
        <v>14</v>
      </c>
      <c r="X126">
        <v>34.700000000000003</v>
      </c>
      <c r="Y126">
        <v>30.7</v>
      </c>
      <c r="Z126">
        <v>20.399999999999999</v>
      </c>
      <c r="AA126">
        <v>9.3000000000000007</v>
      </c>
      <c r="AB126">
        <v>5</v>
      </c>
      <c r="AC126">
        <v>17.600000000000001</v>
      </c>
      <c r="AD126">
        <v>34.6</v>
      </c>
      <c r="AE126">
        <v>28.6</v>
      </c>
      <c r="AF126">
        <v>19.2</v>
      </c>
      <c r="AG126">
        <v>41.4</v>
      </c>
      <c r="AH126">
        <v>58.6</v>
      </c>
      <c r="AI126">
        <v>68.7</v>
      </c>
      <c r="AJ126">
        <v>31.3</v>
      </c>
      <c r="AK126">
        <v>41.6</v>
      </c>
      <c r="AL126">
        <v>45.9</v>
      </c>
      <c r="AM126">
        <v>35.5</v>
      </c>
      <c r="AN126" t="s">
        <v>94</v>
      </c>
      <c r="AO126">
        <v>68.599999999999994</v>
      </c>
      <c r="AP126">
        <v>28.2</v>
      </c>
      <c r="AQ126">
        <v>22</v>
      </c>
      <c r="AR126">
        <v>60.6</v>
      </c>
      <c r="AS126" t="s">
        <v>55</v>
      </c>
      <c r="AT126" t="s">
        <v>76</v>
      </c>
      <c r="AU126" t="s">
        <v>107</v>
      </c>
      <c r="AV126">
        <v>4.0999999999999996</v>
      </c>
      <c r="AW126">
        <v>0.35</v>
      </c>
    </row>
    <row r="127" spans="1:49" x14ac:dyDescent="0.25">
      <c r="A127" t="s">
        <v>104</v>
      </c>
      <c r="B127" t="s">
        <v>105</v>
      </c>
      <c r="C127" t="s">
        <v>106</v>
      </c>
      <c r="D127" t="s">
        <v>106</v>
      </c>
      <c r="E127">
        <v>2025</v>
      </c>
      <c r="F127">
        <v>9</v>
      </c>
      <c r="G127" t="s">
        <v>65</v>
      </c>
      <c r="H127">
        <v>28235</v>
      </c>
      <c r="I127">
        <v>212380</v>
      </c>
      <c r="J127">
        <v>23801</v>
      </c>
      <c r="K127">
        <v>0.3</v>
      </c>
      <c r="L127">
        <v>44.9</v>
      </c>
      <c r="M127">
        <v>31.4</v>
      </c>
      <c r="N127">
        <v>44.3</v>
      </c>
      <c r="O127">
        <v>36.9</v>
      </c>
      <c r="P127">
        <v>32.200000000000003</v>
      </c>
      <c r="Q127">
        <v>21.8</v>
      </c>
      <c r="R127">
        <v>15.1</v>
      </c>
      <c r="S127">
        <v>19.2</v>
      </c>
      <c r="T127">
        <v>6.8</v>
      </c>
      <c r="U127">
        <v>12.2</v>
      </c>
      <c r="V127">
        <v>9.4</v>
      </c>
      <c r="W127">
        <v>13.4</v>
      </c>
      <c r="X127">
        <v>33.200000000000003</v>
      </c>
      <c r="Y127">
        <v>26.3</v>
      </c>
      <c r="Z127">
        <v>23.7</v>
      </c>
      <c r="AA127">
        <v>13.2</v>
      </c>
      <c r="AB127">
        <v>3.7</v>
      </c>
      <c r="AC127">
        <v>15.8</v>
      </c>
      <c r="AD127">
        <v>30.5</v>
      </c>
      <c r="AE127">
        <v>26.8</v>
      </c>
      <c r="AF127">
        <v>26.9</v>
      </c>
      <c r="AG127">
        <v>40.799999999999997</v>
      </c>
      <c r="AH127">
        <v>59.2</v>
      </c>
      <c r="AI127">
        <v>63.2</v>
      </c>
      <c r="AJ127">
        <v>36.799999999999997</v>
      </c>
      <c r="AK127">
        <v>45.5</v>
      </c>
      <c r="AL127">
        <v>51.5</v>
      </c>
      <c r="AM127">
        <v>36.299999999999997</v>
      </c>
      <c r="AN127" t="s">
        <v>94</v>
      </c>
      <c r="AO127">
        <v>72.099999999999994</v>
      </c>
      <c r="AP127">
        <v>25.4</v>
      </c>
      <c r="AQ127">
        <v>24.3</v>
      </c>
      <c r="AR127">
        <v>71.900000000000006</v>
      </c>
      <c r="AS127" t="s">
        <v>55</v>
      </c>
      <c r="AT127" t="s">
        <v>76</v>
      </c>
      <c r="AU127" t="s">
        <v>107</v>
      </c>
      <c r="AV127">
        <v>4.0999999999999996</v>
      </c>
      <c r="AW127">
        <v>0.36</v>
      </c>
    </row>
    <row r="128" spans="1:49" x14ac:dyDescent="0.25">
      <c r="A128" t="s">
        <v>104</v>
      </c>
      <c r="B128" t="s">
        <v>105</v>
      </c>
      <c r="C128" t="s">
        <v>106</v>
      </c>
      <c r="D128" t="s">
        <v>106</v>
      </c>
      <c r="E128">
        <v>2025</v>
      </c>
      <c r="F128">
        <v>10</v>
      </c>
      <c r="G128" t="s">
        <v>66</v>
      </c>
      <c r="H128">
        <v>26394</v>
      </c>
      <c r="I128">
        <v>238774</v>
      </c>
      <c r="J128">
        <v>21649</v>
      </c>
      <c r="K128">
        <v>0.27</v>
      </c>
      <c r="L128">
        <v>46.4</v>
      </c>
      <c r="M128">
        <v>30.1</v>
      </c>
      <c r="N128">
        <v>45.8</v>
      </c>
      <c r="O128">
        <v>35</v>
      </c>
      <c r="P128">
        <v>31.6</v>
      </c>
      <c r="Q128">
        <v>19</v>
      </c>
      <c r="R128">
        <v>13.7</v>
      </c>
      <c r="S128">
        <v>21.2</v>
      </c>
      <c r="T128">
        <v>8.5</v>
      </c>
      <c r="U128">
        <v>14.1</v>
      </c>
      <c r="V128">
        <v>10.199999999999999</v>
      </c>
      <c r="W128">
        <v>14</v>
      </c>
      <c r="X128">
        <v>30.4</v>
      </c>
      <c r="Y128">
        <v>28.3</v>
      </c>
      <c r="Z128">
        <v>24</v>
      </c>
      <c r="AA128">
        <v>12.4</v>
      </c>
      <c r="AB128">
        <v>5</v>
      </c>
      <c r="AC128">
        <v>17.3</v>
      </c>
      <c r="AD128">
        <v>32.9</v>
      </c>
      <c r="AE128">
        <v>30.6</v>
      </c>
      <c r="AF128">
        <v>19.3</v>
      </c>
      <c r="AG128">
        <v>40.4</v>
      </c>
      <c r="AH128">
        <v>59.6</v>
      </c>
      <c r="AI128">
        <v>64.8</v>
      </c>
      <c r="AJ128">
        <v>35.200000000000003</v>
      </c>
      <c r="AK128">
        <v>47</v>
      </c>
      <c r="AL128">
        <v>50.3</v>
      </c>
      <c r="AM128">
        <v>37</v>
      </c>
      <c r="AN128" t="s">
        <v>94</v>
      </c>
      <c r="AO128">
        <v>70.8</v>
      </c>
      <c r="AP128">
        <v>33</v>
      </c>
      <c r="AQ128">
        <v>31.9</v>
      </c>
      <c r="AR128">
        <v>61.4</v>
      </c>
      <c r="AS128" t="s">
        <v>55</v>
      </c>
      <c r="AT128" t="s">
        <v>76</v>
      </c>
      <c r="AU128" t="s">
        <v>107</v>
      </c>
      <c r="AV128">
        <v>4.0999999999999996</v>
      </c>
      <c r="AW128">
        <v>0.34</v>
      </c>
    </row>
    <row r="129" spans="1:49" x14ac:dyDescent="0.25">
      <c r="A129" t="s">
        <v>104</v>
      </c>
      <c r="B129" t="s">
        <v>105</v>
      </c>
      <c r="C129" t="s">
        <v>106</v>
      </c>
      <c r="D129" t="s">
        <v>106</v>
      </c>
      <c r="E129">
        <v>2025</v>
      </c>
      <c r="F129">
        <v>11</v>
      </c>
      <c r="G129" t="s">
        <v>67</v>
      </c>
      <c r="H129">
        <v>31440</v>
      </c>
      <c r="I129">
        <v>270214</v>
      </c>
      <c r="J129">
        <v>26122</v>
      </c>
      <c r="K129">
        <v>0.28999999999999998</v>
      </c>
      <c r="L129">
        <v>45.5</v>
      </c>
      <c r="M129">
        <v>31.3</v>
      </c>
      <c r="N129">
        <v>46.6</v>
      </c>
      <c r="O129">
        <v>38.5</v>
      </c>
      <c r="P129">
        <v>33.9</v>
      </c>
      <c r="Q129">
        <v>21.8</v>
      </c>
      <c r="R129">
        <v>13.6</v>
      </c>
      <c r="S129">
        <v>20.399999999999999</v>
      </c>
      <c r="T129">
        <v>7.1</v>
      </c>
      <c r="U129">
        <v>13.1</v>
      </c>
      <c r="V129">
        <v>10.9</v>
      </c>
      <c r="W129">
        <v>14.3</v>
      </c>
      <c r="X129">
        <v>36</v>
      </c>
      <c r="Y129">
        <v>26.8</v>
      </c>
      <c r="Z129">
        <v>22.1</v>
      </c>
      <c r="AA129">
        <v>11</v>
      </c>
      <c r="AB129">
        <v>4.2</v>
      </c>
      <c r="AC129">
        <v>14.8</v>
      </c>
      <c r="AD129">
        <v>31</v>
      </c>
      <c r="AE129">
        <v>30.7</v>
      </c>
      <c r="AF129">
        <v>23.5</v>
      </c>
      <c r="AG129">
        <v>45.3</v>
      </c>
      <c r="AH129">
        <v>54.7</v>
      </c>
      <c r="AI129">
        <v>71.099999999999994</v>
      </c>
      <c r="AJ129">
        <v>28.9</v>
      </c>
      <c r="AK129">
        <v>43.9</v>
      </c>
      <c r="AL129">
        <v>46.2</v>
      </c>
      <c r="AM129">
        <v>38.200000000000003</v>
      </c>
      <c r="AN129" t="s">
        <v>94</v>
      </c>
      <c r="AO129">
        <v>75.900000000000006</v>
      </c>
      <c r="AP129">
        <v>24.9</v>
      </c>
      <c r="AQ129">
        <v>24.3</v>
      </c>
      <c r="AR129">
        <v>67.400000000000006</v>
      </c>
      <c r="AS129" t="s">
        <v>55</v>
      </c>
      <c r="AT129" t="s">
        <v>76</v>
      </c>
      <c r="AU129" t="s">
        <v>107</v>
      </c>
      <c r="AV129">
        <v>4.3</v>
      </c>
      <c r="AW129">
        <v>0.36</v>
      </c>
    </row>
    <row r="130" spans="1:49" x14ac:dyDescent="0.25">
      <c r="A130" t="s">
        <v>104</v>
      </c>
      <c r="B130" t="s">
        <v>105</v>
      </c>
      <c r="C130" t="s">
        <v>106</v>
      </c>
      <c r="D130" t="s">
        <v>106</v>
      </c>
      <c r="E130">
        <v>2025</v>
      </c>
      <c r="F130">
        <v>12</v>
      </c>
      <c r="G130" t="s">
        <v>68</v>
      </c>
      <c r="H130">
        <v>28469</v>
      </c>
      <c r="I130">
        <v>298683</v>
      </c>
      <c r="J130">
        <v>24150</v>
      </c>
      <c r="K130">
        <v>0.26</v>
      </c>
      <c r="L130">
        <v>46.2</v>
      </c>
      <c r="M130">
        <v>31.2</v>
      </c>
      <c r="N130">
        <v>44.6</v>
      </c>
      <c r="O130">
        <v>36.9</v>
      </c>
      <c r="P130">
        <v>34.200000000000003</v>
      </c>
      <c r="Q130">
        <v>20.6</v>
      </c>
      <c r="R130">
        <v>14.2</v>
      </c>
      <c r="S130">
        <v>19.899999999999999</v>
      </c>
      <c r="T130">
        <v>8.4</v>
      </c>
      <c r="U130">
        <v>14.3</v>
      </c>
      <c r="V130">
        <v>11.5</v>
      </c>
      <c r="W130">
        <v>14.8</v>
      </c>
      <c r="X130">
        <v>31.4</v>
      </c>
      <c r="Y130">
        <v>29.3</v>
      </c>
      <c r="Z130">
        <v>22.3</v>
      </c>
      <c r="AA130">
        <v>12</v>
      </c>
      <c r="AB130">
        <v>5</v>
      </c>
      <c r="AC130">
        <v>17.100000000000001</v>
      </c>
      <c r="AD130">
        <v>31.7</v>
      </c>
      <c r="AE130">
        <v>26</v>
      </c>
      <c r="AF130">
        <v>25.2</v>
      </c>
      <c r="AG130">
        <v>43</v>
      </c>
      <c r="AH130">
        <v>57</v>
      </c>
      <c r="AI130">
        <v>64.900000000000006</v>
      </c>
      <c r="AJ130">
        <v>35.1</v>
      </c>
      <c r="AK130">
        <v>41.4</v>
      </c>
      <c r="AL130">
        <v>46.7</v>
      </c>
      <c r="AM130">
        <v>35.799999999999997</v>
      </c>
      <c r="AN130" t="s">
        <v>94</v>
      </c>
      <c r="AO130">
        <v>73.900000000000006</v>
      </c>
      <c r="AP130">
        <v>22.3</v>
      </c>
      <c r="AQ130">
        <v>27</v>
      </c>
      <c r="AR130">
        <v>71.2</v>
      </c>
      <c r="AS130" t="s">
        <v>55</v>
      </c>
      <c r="AT130" t="s">
        <v>76</v>
      </c>
      <c r="AU130" t="s">
        <v>107</v>
      </c>
      <c r="AV130">
        <v>4.4000000000000004</v>
      </c>
      <c r="AW130">
        <v>0.36</v>
      </c>
    </row>
    <row r="131" spans="1:49" x14ac:dyDescent="0.25">
      <c r="A131" t="s">
        <v>104</v>
      </c>
      <c r="B131" t="s">
        <v>105</v>
      </c>
      <c r="C131" t="s">
        <v>106</v>
      </c>
      <c r="D131" t="s">
        <v>106</v>
      </c>
      <c r="E131">
        <v>2026</v>
      </c>
      <c r="F131">
        <v>1</v>
      </c>
      <c r="G131" t="s">
        <v>69</v>
      </c>
      <c r="H131">
        <v>30534</v>
      </c>
      <c r="I131">
        <v>329217</v>
      </c>
      <c r="J131">
        <v>25993</v>
      </c>
      <c r="K131">
        <v>0.31</v>
      </c>
      <c r="L131">
        <v>45.1</v>
      </c>
      <c r="M131">
        <v>30</v>
      </c>
      <c r="N131">
        <v>46.9</v>
      </c>
      <c r="O131">
        <v>39.4</v>
      </c>
      <c r="P131">
        <v>33.9</v>
      </c>
      <c r="Q131">
        <v>21.5</v>
      </c>
      <c r="R131">
        <v>14.7</v>
      </c>
      <c r="S131">
        <v>20</v>
      </c>
      <c r="T131">
        <v>9.4</v>
      </c>
      <c r="U131">
        <v>13.6</v>
      </c>
      <c r="V131">
        <v>9.8000000000000007</v>
      </c>
      <c r="W131">
        <v>14.1</v>
      </c>
      <c r="X131">
        <v>31.5</v>
      </c>
      <c r="Y131">
        <v>29</v>
      </c>
      <c r="Z131">
        <v>22.5</v>
      </c>
      <c r="AA131">
        <v>11.9</v>
      </c>
      <c r="AB131">
        <v>5</v>
      </c>
      <c r="AC131">
        <v>16.600000000000001</v>
      </c>
      <c r="AD131">
        <v>33.700000000000003</v>
      </c>
      <c r="AE131">
        <v>26.4</v>
      </c>
      <c r="AF131">
        <v>23.3</v>
      </c>
      <c r="AG131">
        <v>40.5</v>
      </c>
      <c r="AH131">
        <v>59.5</v>
      </c>
      <c r="AI131">
        <v>63.7</v>
      </c>
      <c r="AJ131">
        <v>36.299999999999997</v>
      </c>
      <c r="AK131">
        <v>46.5</v>
      </c>
      <c r="AL131">
        <v>42.1</v>
      </c>
      <c r="AM131">
        <v>40.799999999999997</v>
      </c>
      <c r="AN131" t="s">
        <v>94</v>
      </c>
      <c r="AO131">
        <v>72.099999999999994</v>
      </c>
      <c r="AP131">
        <v>25</v>
      </c>
      <c r="AQ131">
        <v>23.4</v>
      </c>
      <c r="AR131">
        <v>63.6</v>
      </c>
      <c r="AS131" t="s">
        <v>55</v>
      </c>
      <c r="AT131" t="s">
        <v>76</v>
      </c>
      <c r="AU131" t="s">
        <v>107</v>
      </c>
      <c r="AV131">
        <v>4.4000000000000004</v>
      </c>
      <c r="AW131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1443-DD87-41DF-9E10-283E95BF0CBC}">
  <dimension ref="A1:AE131"/>
  <sheetViews>
    <sheetView topLeftCell="S1" workbookViewId="0">
      <selection activeCell="L1" sqref="L1"/>
    </sheetView>
  </sheetViews>
  <sheetFormatPr defaultRowHeight="15" x14ac:dyDescent="0.25"/>
  <cols>
    <col min="1" max="1" width="16.140625" bestFit="1" customWidth="1"/>
    <col min="2" max="2" width="13.85546875" bestFit="1" customWidth="1"/>
    <col min="3" max="3" width="15.5703125" bestFit="1" customWidth="1"/>
    <col min="4" max="4" width="7.140625" bestFit="1" customWidth="1"/>
    <col min="6" max="6" width="9.42578125" bestFit="1" customWidth="1"/>
    <col min="7" max="7" width="19.7109375" bestFit="1" customWidth="1"/>
    <col min="8" max="8" width="22.28515625" bestFit="1" customWidth="1"/>
    <col min="9" max="9" width="15.5703125" bestFit="1" customWidth="1"/>
    <col min="10" max="10" width="18.5703125" bestFit="1" customWidth="1"/>
    <col min="11" max="11" width="26" bestFit="1" customWidth="1"/>
    <col min="12" max="12" width="23.42578125" bestFit="1" customWidth="1"/>
    <col min="13" max="13" width="30" bestFit="1" customWidth="1"/>
    <col min="14" max="14" width="24.7109375" bestFit="1" customWidth="1"/>
    <col min="15" max="15" width="36.140625" bestFit="1" customWidth="1"/>
    <col min="16" max="16" width="18.140625" bestFit="1" customWidth="1"/>
    <col min="17" max="17" width="17.5703125" bestFit="1" customWidth="1"/>
    <col min="18" max="18" width="19.7109375" bestFit="1" customWidth="1"/>
    <col min="19" max="19" width="19.140625" bestFit="1" customWidth="1"/>
    <col min="20" max="20" width="17.42578125" bestFit="1" customWidth="1"/>
    <col min="21" max="23" width="16" bestFit="1" customWidth="1"/>
    <col min="24" max="24" width="17.85546875" bestFit="1" customWidth="1"/>
    <col min="25" max="25" width="18.7109375" bestFit="1" customWidth="1"/>
    <col min="26" max="26" width="20.7109375" bestFit="1" customWidth="1"/>
    <col min="27" max="27" width="18.85546875" bestFit="1" customWidth="1"/>
    <col min="28" max="28" width="30.7109375" bestFit="1" customWidth="1"/>
    <col min="29" max="29" width="26.5703125" bestFit="1" customWidth="1"/>
    <col min="30" max="30" width="30.28515625" bestFit="1" customWidth="1"/>
    <col min="31" max="31" width="26.5703125" bestFit="1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137</v>
      </c>
      <c r="L1" t="s">
        <v>12</v>
      </c>
      <c r="M1" t="s">
        <v>13</v>
      </c>
      <c r="N1" t="s">
        <v>14</v>
      </c>
      <c r="O1" t="s">
        <v>15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40</v>
      </c>
      <c r="AB1" t="s">
        <v>41</v>
      </c>
      <c r="AC1" t="s">
        <v>42</v>
      </c>
      <c r="AD1" t="s">
        <v>47</v>
      </c>
      <c r="AE1" t="s">
        <v>48</v>
      </c>
    </row>
    <row r="2" spans="1:31" x14ac:dyDescent="0.25">
      <c r="A2" t="s">
        <v>50</v>
      </c>
      <c r="B2" t="s">
        <v>51</v>
      </c>
      <c r="C2" t="s">
        <v>52</v>
      </c>
      <c r="D2">
        <v>2025</v>
      </c>
      <c r="E2">
        <v>1</v>
      </c>
      <c r="F2" s="1">
        <v>45658</v>
      </c>
      <c r="G2">
        <v>7660</v>
      </c>
      <c r="H2">
        <v>7660</v>
      </c>
      <c r="I2">
        <v>6718</v>
      </c>
      <c r="J2">
        <v>0.28000000000000003</v>
      </c>
      <c r="K2">
        <v>46.3</v>
      </c>
      <c r="L2">
        <v>32.4</v>
      </c>
      <c r="M2">
        <v>39.1</v>
      </c>
      <c r="N2">
        <v>31.2</v>
      </c>
      <c r="O2">
        <v>26.7</v>
      </c>
      <c r="P2">
        <v>33.200000000000003</v>
      </c>
      <c r="Q2">
        <v>29.3</v>
      </c>
      <c r="R2">
        <v>20.5</v>
      </c>
      <c r="S2">
        <v>12.1</v>
      </c>
      <c r="T2">
        <v>5</v>
      </c>
      <c r="U2">
        <v>14.8</v>
      </c>
      <c r="V2">
        <v>31.8</v>
      </c>
      <c r="W2">
        <v>27.8</v>
      </c>
      <c r="X2">
        <v>25.6</v>
      </c>
      <c r="Y2">
        <v>42.7</v>
      </c>
      <c r="Z2">
        <v>57.3</v>
      </c>
      <c r="AA2">
        <v>69.599999999999994</v>
      </c>
      <c r="AB2">
        <v>29.2</v>
      </c>
      <c r="AC2">
        <v>27.1</v>
      </c>
      <c r="AD2">
        <v>4.7</v>
      </c>
      <c r="AE2">
        <v>0.4</v>
      </c>
    </row>
    <row r="3" spans="1:31" x14ac:dyDescent="0.25">
      <c r="A3" t="s">
        <v>50</v>
      </c>
      <c r="B3" t="s">
        <v>51</v>
      </c>
      <c r="C3" t="s">
        <v>52</v>
      </c>
      <c r="D3">
        <v>2025</v>
      </c>
      <c r="E3">
        <v>2</v>
      </c>
      <c r="F3" s="1">
        <v>45689</v>
      </c>
      <c r="G3">
        <v>8833</v>
      </c>
      <c r="H3">
        <v>16493</v>
      </c>
      <c r="I3">
        <v>7404</v>
      </c>
      <c r="J3">
        <v>0.19</v>
      </c>
      <c r="K3">
        <v>46.6</v>
      </c>
      <c r="L3">
        <v>34.299999999999997</v>
      </c>
      <c r="M3">
        <v>41</v>
      </c>
      <c r="N3">
        <v>28.1</v>
      </c>
      <c r="O3">
        <v>28.3</v>
      </c>
      <c r="P3">
        <v>33.9</v>
      </c>
      <c r="Q3">
        <v>30.1</v>
      </c>
      <c r="R3">
        <v>20.399999999999999</v>
      </c>
      <c r="S3">
        <v>13.6</v>
      </c>
      <c r="T3">
        <v>2</v>
      </c>
      <c r="U3">
        <v>14.5</v>
      </c>
      <c r="V3">
        <v>31.2</v>
      </c>
      <c r="W3">
        <v>26.2</v>
      </c>
      <c r="X3">
        <v>28.1</v>
      </c>
      <c r="Y3">
        <v>42</v>
      </c>
      <c r="Z3">
        <v>58</v>
      </c>
      <c r="AA3">
        <v>70.2</v>
      </c>
      <c r="AB3">
        <v>33.6</v>
      </c>
      <c r="AC3">
        <v>24.3</v>
      </c>
      <c r="AD3">
        <v>3.7</v>
      </c>
      <c r="AE3">
        <v>0.4</v>
      </c>
    </row>
    <row r="4" spans="1:31" x14ac:dyDescent="0.25">
      <c r="A4" t="s">
        <v>50</v>
      </c>
      <c r="B4" t="s">
        <v>51</v>
      </c>
      <c r="C4" t="s">
        <v>52</v>
      </c>
      <c r="D4">
        <v>2025</v>
      </c>
      <c r="E4">
        <v>3</v>
      </c>
      <c r="F4" s="1">
        <v>45717</v>
      </c>
      <c r="G4">
        <v>9412</v>
      </c>
      <c r="H4">
        <v>25905</v>
      </c>
      <c r="I4">
        <v>7830</v>
      </c>
      <c r="J4">
        <v>0.18</v>
      </c>
      <c r="K4">
        <v>46.9</v>
      </c>
      <c r="L4">
        <v>34.1</v>
      </c>
      <c r="M4">
        <v>42.3</v>
      </c>
      <c r="N4">
        <v>28.6</v>
      </c>
      <c r="O4">
        <v>26.5</v>
      </c>
      <c r="P4">
        <v>33.200000000000003</v>
      </c>
      <c r="Q4">
        <v>31.4</v>
      </c>
      <c r="R4">
        <v>20.9</v>
      </c>
      <c r="S4">
        <v>9.6</v>
      </c>
      <c r="T4">
        <v>5</v>
      </c>
      <c r="U4">
        <v>18.3</v>
      </c>
      <c r="V4">
        <v>34.6</v>
      </c>
      <c r="W4">
        <v>28.8</v>
      </c>
      <c r="X4">
        <v>18.3</v>
      </c>
      <c r="Y4">
        <v>44.6</v>
      </c>
      <c r="Z4">
        <v>55.4</v>
      </c>
      <c r="AA4">
        <v>72.2</v>
      </c>
      <c r="AB4">
        <v>28</v>
      </c>
      <c r="AC4">
        <v>20.3</v>
      </c>
      <c r="AD4">
        <v>4.2</v>
      </c>
      <c r="AE4">
        <v>0.39</v>
      </c>
    </row>
    <row r="5" spans="1:31" x14ac:dyDescent="0.25">
      <c r="A5" t="s">
        <v>50</v>
      </c>
      <c r="B5" t="s">
        <v>51</v>
      </c>
      <c r="C5" t="s">
        <v>52</v>
      </c>
      <c r="D5">
        <v>2025</v>
      </c>
      <c r="E5">
        <v>4</v>
      </c>
      <c r="F5" s="1">
        <v>45748</v>
      </c>
      <c r="G5">
        <v>8657</v>
      </c>
      <c r="H5">
        <v>34562</v>
      </c>
      <c r="I5">
        <v>7311</v>
      </c>
      <c r="J5">
        <v>0.28999999999999998</v>
      </c>
      <c r="K5">
        <v>45.2</v>
      </c>
      <c r="L5">
        <v>34.799999999999997</v>
      </c>
      <c r="M5">
        <v>40</v>
      </c>
      <c r="N5">
        <v>32.299999999999997</v>
      </c>
      <c r="O5">
        <v>28.7</v>
      </c>
      <c r="P5">
        <v>33.5</v>
      </c>
      <c r="Q5">
        <v>28.8</v>
      </c>
      <c r="R5">
        <v>21.6</v>
      </c>
      <c r="S5">
        <v>11.1</v>
      </c>
      <c r="T5">
        <v>5</v>
      </c>
      <c r="U5">
        <v>18.899999999999999</v>
      </c>
      <c r="V5">
        <v>35.200000000000003</v>
      </c>
      <c r="W5">
        <v>26</v>
      </c>
      <c r="X5">
        <v>19.899999999999999</v>
      </c>
      <c r="Y5">
        <v>43.1</v>
      </c>
      <c r="Z5">
        <v>56.9</v>
      </c>
      <c r="AA5">
        <v>69.8</v>
      </c>
      <c r="AB5">
        <v>23.7</v>
      </c>
      <c r="AC5">
        <v>24.1</v>
      </c>
      <c r="AD5">
        <v>4</v>
      </c>
      <c r="AE5">
        <v>0.4</v>
      </c>
    </row>
    <row r="6" spans="1:31" x14ac:dyDescent="0.25">
      <c r="A6" t="s">
        <v>50</v>
      </c>
      <c r="B6" t="s">
        <v>51</v>
      </c>
      <c r="C6" t="s">
        <v>52</v>
      </c>
      <c r="D6">
        <v>2025</v>
      </c>
      <c r="E6">
        <v>5</v>
      </c>
      <c r="F6" s="1">
        <v>45778</v>
      </c>
      <c r="G6">
        <v>10203</v>
      </c>
      <c r="H6">
        <v>44765</v>
      </c>
      <c r="I6">
        <v>8520</v>
      </c>
      <c r="J6">
        <v>0.25</v>
      </c>
      <c r="K6">
        <v>45.4</v>
      </c>
      <c r="L6">
        <v>33.9</v>
      </c>
      <c r="M6">
        <v>41.9</v>
      </c>
      <c r="N6">
        <v>30.9</v>
      </c>
      <c r="O6">
        <v>26.1</v>
      </c>
      <c r="P6">
        <v>34.200000000000003</v>
      </c>
      <c r="Q6">
        <v>27.5</v>
      </c>
      <c r="R6">
        <v>22.5</v>
      </c>
      <c r="S6">
        <v>10.8</v>
      </c>
      <c r="T6">
        <v>5</v>
      </c>
      <c r="U6">
        <v>17.8</v>
      </c>
      <c r="V6">
        <v>33.799999999999997</v>
      </c>
      <c r="W6">
        <v>28.7</v>
      </c>
      <c r="X6">
        <v>19.7</v>
      </c>
      <c r="Y6">
        <v>40.5</v>
      </c>
      <c r="Z6">
        <v>59.5</v>
      </c>
      <c r="AA6">
        <v>70.599999999999994</v>
      </c>
      <c r="AB6">
        <v>24.6</v>
      </c>
      <c r="AC6">
        <v>20.5</v>
      </c>
      <c r="AD6">
        <v>3.9</v>
      </c>
      <c r="AE6">
        <v>0.36</v>
      </c>
    </row>
    <row r="7" spans="1:31" x14ac:dyDescent="0.25">
      <c r="A7" t="s">
        <v>50</v>
      </c>
      <c r="B7" t="s">
        <v>51</v>
      </c>
      <c r="C7" t="s">
        <v>52</v>
      </c>
      <c r="D7">
        <v>2025</v>
      </c>
      <c r="E7">
        <v>6</v>
      </c>
      <c r="F7" s="1">
        <v>45809</v>
      </c>
      <c r="G7">
        <v>9461</v>
      </c>
      <c r="H7">
        <v>54226</v>
      </c>
      <c r="I7">
        <v>8150</v>
      </c>
      <c r="J7">
        <v>0.23</v>
      </c>
      <c r="K7">
        <v>47.3</v>
      </c>
      <c r="L7">
        <v>34.799999999999997</v>
      </c>
      <c r="M7">
        <v>40.1</v>
      </c>
      <c r="N7">
        <v>32.9</v>
      </c>
      <c r="O7">
        <v>29.8</v>
      </c>
      <c r="P7">
        <v>35.200000000000003</v>
      </c>
      <c r="Q7">
        <v>29.8</v>
      </c>
      <c r="R7">
        <v>20</v>
      </c>
      <c r="S7">
        <v>10.7</v>
      </c>
      <c r="T7">
        <v>4.2</v>
      </c>
      <c r="U7">
        <v>18.399999999999999</v>
      </c>
      <c r="V7">
        <v>35.4</v>
      </c>
      <c r="W7">
        <v>30.4</v>
      </c>
      <c r="X7">
        <v>15.8</v>
      </c>
      <c r="Y7">
        <v>44.7</v>
      </c>
      <c r="Z7">
        <v>55.3</v>
      </c>
      <c r="AA7">
        <v>68.7</v>
      </c>
      <c r="AB7">
        <v>24.3</v>
      </c>
      <c r="AC7">
        <v>30.8</v>
      </c>
      <c r="AD7">
        <v>3.6</v>
      </c>
      <c r="AE7">
        <v>0.32</v>
      </c>
    </row>
    <row r="8" spans="1:31" x14ac:dyDescent="0.25">
      <c r="A8" t="s">
        <v>50</v>
      </c>
      <c r="B8" t="s">
        <v>51</v>
      </c>
      <c r="C8" t="s">
        <v>52</v>
      </c>
      <c r="D8">
        <v>2025</v>
      </c>
      <c r="E8">
        <v>7</v>
      </c>
      <c r="F8" s="1">
        <v>45839</v>
      </c>
      <c r="G8">
        <v>10544</v>
      </c>
      <c r="H8">
        <v>64770</v>
      </c>
      <c r="I8">
        <v>9083</v>
      </c>
      <c r="J8">
        <v>0.27</v>
      </c>
      <c r="K8">
        <v>45.2</v>
      </c>
      <c r="L8">
        <v>35.1</v>
      </c>
      <c r="M8">
        <v>41.1</v>
      </c>
      <c r="N8">
        <v>32.5</v>
      </c>
      <c r="O8">
        <v>29.3</v>
      </c>
      <c r="P8">
        <v>31.1</v>
      </c>
      <c r="Q8">
        <v>31.4</v>
      </c>
      <c r="R8">
        <v>21.8</v>
      </c>
      <c r="S8">
        <v>13</v>
      </c>
      <c r="T8">
        <v>2.7</v>
      </c>
      <c r="U8">
        <v>17</v>
      </c>
      <c r="V8">
        <v>33.5</v>
      </c>
      <c r="W8">
        <v>28.5</v>
      </c>
      <c r="X8">
        <v>21.1</v>
      </c>
      <c r="Y8">
        <v>41.2</v>
      </c>
      <c r="Z8">
        <v>58.8</v>
      </c>
      <c r="AA8">
        <v>70.2</v>
      </c>
      <c r="AB8">
        <v>22.3</v>
      </c>
      <c r="AC8">
        <v>27.7</v>
      </c>
      <c r="AD8">
        <v>4</v>
      </c>
      <c r="AE8">
        <v>0.3</v>
      </c>
    </row>
    <row r="9" spans="1:31" x14ac:dyDescent="0.25">
      <c r="A9" t="s">
        <v>50</v>
      </c>
      <c r="B9" t="s">
        <v>51</v>
      </c>
      <c r="C9" t="s">
        <v>52</v>
      </c>
      <c r="D9">
        <v>2025</v>
      </c>
      <c r="E9">
        <v>8</v>
      </c>
      <c r="F9" s="1">
        <v>45870</v>
      </c>
      <c r="G9">
        <v>11693</v>
      </c>
      <c r="H9">
        <v>76463</v>
      </c>
      <c r="I9">
        <v>9888</v>
      </c>
      <c r="J9">
        <v>0.32</v>
      </c>
      <c r="K9">
        <v>47.4</v>
      </c>
      <c r="L9">
        <v>35.200000000000003</v>
      </c>
      <c r="M9">
        <v>41.5</v>
      </c>
      <c r="N9">
        <v>33.200000000000003</v>
      </c>
      <c r="O9">
        <v>28.4</v>
      </c>
      <c r="P9">
        <v>29.4</v>
      </c>
      <c r="Q9">
        <v>29.4</v>
      </c>
      <c r="R9">
        <v>23.5</v>
      </c>
      <c r="S9">
        <v>12.7</v>
      </c>
      <c r="T9">
        <v>5</v>
      </c>
      <c r="U9">
        <v>18.2</v>
      </c>
      <c r="V9">
        <v>34.200000000000003</v>
      </c>
      <c r="W9">
        <v>27.8</v>
      </c>
      <c r="X9">
        <v>19.8</v>
      </c>
      <c r="Y9">
        <v>41.8</v>
      </c>
      <c r="Z9">
        <v>58.2</v>
      </c>
      <c r="AA9">
        <v>74.5</v>
      </c>
      <c r="AB9">
        <v>34.1</v>
      </c>
      <c r="AC9">
        <v>31</v>
      </c>
      <c r="AD9">
        <v>4.4000000000000004</v>
      </c>
      <c r="AE9">
        <v>0.38</v>
      </c>
    </row>
    <row r="10" spans="1:31" x14ac:dyDescent="0.25">
      <c r="A10" t="s">
        <v>50</v>
      </c>
      <c r="B10" t="s">
        <v>51</v>
      </c>
      <c r="C10" t="s">
        <v>52</v>
      </c>
      <c r="D10">
        <v>2025</v>
      </c>
      <c r="E10">
        <v>9</v>
      </c>
      <c r="F10" s="1">
        <v>45901</v>
      </c>
      <c r="G10">
        <v>12137</v>
      </c>
      <c r="H10">
        <v>88600</v>
      </c>
      <c r="I10">
        <v>10198</v>
      </c>
      <c r="J10">
        <v>0.23</v>
      </c>
      <c r="K10">
        <v>44.8</v>
      </c>
      <c r="L10">
        <v>34.299999999999997</v>
      </c>
      <c r="M10">
        <v>42</v>
      </c>
      <c r="N10">
        <v>32.299999999999997</v>
      </c>
      <c r="O10">
        <v>28.6</v>
      </c>
      <c r="P10">
        <v>32.799999999999997</v>
      </c>
      <c r="Q10">
        <v>32.1</v>
      </c>
      <c r="R10">
        <v>20.8</v>
      </c>
      <c r="S10">
        <v>9.3000000000000007</v>
      </c>
      <c r="T10">
        <v>5</v>
      </c>
      <c r="U10">
        <v>17.2</v>
      </c>
      <c r="V10">
        <v>33.200000000000003</v>
      </c>
      <c r="W10">
        <v>29.2</v>
      </c>
      <c r="X10">
        <v>20.399999999999999</v>
      </c>
      <c r="Y10">
        <v>44.4</v>
      </c>
      <c r="Z10">
        <v>55.6</v>
      </c>
      <c r="AA10">
        <v>72.099999999999994</v>
      </c>
      <c r="AB10">
        <v>26.5</v>
      </c>
      <c r="AC10">
        <v>29.5</v>
      </c>
      <c r="AD10">
        <v>4.8</v>
      </c>
      <c r="AE10">
        <v>0.38</v>
      </c>
    </row>
    <row r="11" spans="1:31" x14ac:dyDescent="0.25">
      <c r="A11" t="s">
        <v>50</v>
      </c>
      <c r="B11" t="s">
        <v>51</v>
      </c>
      <c r="C11" t="s">
        <v>52</v>
      </c>
      <c r="D11">
        <v>2025</v>
      </c>
      <c r="E11">
        <v>10</v>
      </c>
      <c r="F11" s="1">
        <v>45931</v>
      </c>
      <c r="G11">
        <v>11783</v>
      </c>
      <c r="H11">
        <v>100383</v>
      </c>
      <c r="I11">
        <v>9951</v>
      </c>
      <c r="J11">
        <v>0.2</v>
      </c>
      <c r="K11">
        <v>45</v>
      </c>
      <c r="L11">
        <v>34.200000000000003</v>
      </c>
      <c r="M11">
        <v>43.1</v>
      </c>
      <c r="N11">
        <v>33</v>
      </c>
      <c r="O11">
        <v>29</v>
      </c>
      <c r="P11">
        <v>33.200000000000003</v>
      </c>
      <c r="Q11">
        <v>30.5</v>
      </c>
      <c r="R11">
        <v>22.1</v>
      </c>
      <c r="S11">
        <v>9.1999999999999993</v>
      </c>
      <c r="T11">
        <v>5</v>
      </c>
      <c r="U11">
        <v>19.100000000000001</v>
      </c>
      <c r="V11">
        <v>34.200000000000003</v>
      </c>
      <c r="W11">
        <v>28.4</v>
      </c>
      <c r="X11">
        <v>18.3</v>
      </c>
      <c r="Y11">
        <v>40.6</v>
      </c>
      <c r="Z11">
        <v>59.4</v>
      </c>
      <c r="AA11">
        <v>71.8</v>
      </c>
      <c r="AB11">
        <v>24.4</v>
      </c>
      <c r="AC11">
        <v>25.2</v>
      </c>
      <c r="AD11">
        <v>4</v>
      </c>
      <c r="AE11">
        <v>0.36</v>
      </c>
    </row>
    <row r="12" spans="1:31" x14ac:dyDescent="0.25">
      <c r="A12" t="s">
        <v>50</v>
      </c>
      <c r="B12" t="s">
        <v>51</v>
      </c>
      <c r="C12" t="s">
        <v>52</v>
      </c>
      <c r="D12">
        <v>2025</v>
      </c>
      <c r="E12">
        <v>11</v>
      </c>
      <c r="F12" s="1">
        <v>45962</v>
      </c>
      <c r="G12">
        <v>11791</v>
      </c>
      <c r="H12">
        <v>112174</v>
      </c>
      <c r="I12">
        <v>10274</v>
      </c>
      <c r="J12">
        <v>0.27</v>
      </c>
      <c r="K12">
        <v>45</v>
      </c>
      <c r="L12">
        <v>35</v>
      </c>
      <c r="M12">
        <v>40.5</v>
      </c>
      <c r="N12">
        <v>33</v>
      </c>
      <c r="O12">
        <v>32.1</v>
      </c>
      <c r="P12">
        <v>37.1</v>
      </c>
      <c r="Q12">
        <v>28.6</v>
      </c>
      <c r="R12">
        <v>19.8</v>
      </c>
      <c r="S12">
        <v>9.5</v>
      </c>
      <c r="T12">
        <v>5</v>
      </c>
      <c r="U12">
        <v>14.1</v>
      </c>
      <c r="V12">
        <v>30.6</v>
      </c>
      <c r="W12">
        <v>29.4</v>
      </c>
      <c r="X12">
        <v>25.9</v>
      </c>
      <c r="Y12">
        <v>40.4</v>
      </c>
      <c r="Z12">
        <v>59.6</v>
      </c>
      <c r="AA12">
        <v>74.8</v>
      </c>
      <c r="AB12">
        <v>22.3</v>
      </c>
      <c r="AC12">
        <v>29.8</v>
      </c>
      <c r="AD12">
        <v>4.7</v>
      </c>
      <c r="AE12">
        <v>0.37</v>
      </c>
    </row>
    <row r="13" spans="1:31" x14ac:dyDescent="0.25">
      <c r="A13" t="s">
        <v>50</v>
      </c>
      <c r="B13" t="s">
        <v>51</v>
      </c>
      <c r="C13" t="s">
        <v>52</v>
      </c>
      <c r="D13">
        <v>2025</v>
      </c>
      <c r="E13">
        <v>12</v>
      </c>
      <c r="F13" s="1">
        <v>45992</v>
      </c>
      <c r="G13">
        <v>12736</v>
      </c>
      <c r="H13">
        <v>124910</v>
      </c>
      <c r="I13">
        <v>10659</v>
      </c>
      <c r="J13">
        <v>0.2</v>
      </c>
      <c r="K13">
        <v>46.8</v>
      </c>
      <c r="L13">
        <v>34.799999999999997</v>
      </c>
      <c r="M13">
        <v>42.2</v>
      </c>
      <c r="N13">
        <v>32.5</v>
      </c>
      <c r="O13">
        <v>31.8</v>
      </c>
      <c r="P13">
        <v>32</v>
      </c>
      <c r="Q13">
        <v>31</v>
      </c>
      <c r="R13">
        <v>19.899999999999999</v>
      </c>
      <c r="S13">
        <v>13.5</v>
      </c>
      <c r="T13">
        <v>3.6</v>
      </c>
      <c r="U13">
        <v>16.3</v>
      </c>
      <c r="V13">
        <v>30.1</v>
      </c>
      <c r="W13">
        <v>30.5</v>
      </c>
      <c r="X13">
        <v>23.1</v>
      </c>
      <c r="Y13">
        <v>40.5</v>
      </c>
      <c r="Z13">
        <v>59.5</v>
      </c>
      <c r="AA13">
        <v>75.599999999999994</v>
      </c>
      <c r="AB13">
        <v>35.299999999999997</v>
      </c>
      <c r="AC13">
        <v>26.9</v>
      </c>
      <c r="AD13">
        <v>4.4000000000000004</v>
      </c>
      <c r="AE13">
        <v>0.38</v>
      </c>
    </row>
    <row r="14" spans="1:31" x14ac:dyDescent="0.25">
      <c r="A14" t="s">
        <v>50</v>
      </c>
      <c r="B14" t="s">
        <v>51</v>
      </c>
      <c r="C14" t="s">
        <v>52</v>
      </c>
      <c r="D14">
        <v>2026</v>
      </c>
      <c r="E14">
        <v>1</v>
      </c>
      <c r="F14" s="1">
        <v>46023</v>
      </c>
      <c r="G14">
        <v>13090</v>
      </c>
      <c r="H14">
        <v>138000</v>
      </c>
      <c r="I14">
        <v>11353</v>
      </c>
      <c r="J14">
        <v>0.19</v>
      </c>
      <c r="K14">
        <v>46</v>
      </c>
      <c r="L14">
        <v>31.5</v>
      </c>
      <c r="M14">
        <v>42.5</v>
      </c>
      <c r="N14">
        <v>34.9</v>
      </c>
      <c r="O14">
        <v>30.5</v>
      </c>
      <c r="P14">
        <v>35.5</v>
      </c>
      <c r="Q14">
        <v>30.9</v>
      </c>
      <c r="R14">
        <v>19.2</v>
      </c>
      <c r="S14">
        <v>9.4</v>
      </c>
      <c r="T14">
        <v>5</v>
      </c>
      <c r="U14">
        <v>19.899999999999999</v>
      </c>
      <c r="V14">
        <v>32.200000000000003</v>
      </c>
      <c r="W14">
        <v>27.9</v>
      </c>
      <c r="X14">
        <v>20</v>
      </c>
      <c r="Y14">
        <v>44.9</v>
      </c>
      <c r="Z14">
        <v>55.1</v>
      </c>
      <c r="AA14">
        <v>75.900000000000006</v>
      </c>
      <c r="AB14">
        <v>32.5</v>
      </c>
      <c r="AC14">
        <v>24.5</v>
      </c>
      <c r="AD14">
        <v>4.7</v>
      </c>
      <c r="AE14">
        <v>0.31</v>
      </c>
    </row>
    <row r="15" spans="1:31" x14ac:dyDescent="0.25">
      <c r="A15" t="s">
        <v>71</v>
      </c>
      <c r="B15" t="s">
        <v>72</v>
      </c>
      <c r="C15" t="s">
        <v>72</v>
      </c>
      <c r="D15">
        <v>2025</v>
      </c>
      <c r="E15">
        <v>1</v>
      </c>
      <c r="F15" s="1">
        <v>45658</v>
      </c>
      <c r="G15">
        <v>15604</v>
      </c>
      <c r="H15">
        <v>15604</v>
      </c>
      <c r="I15">
        <v>12805</v>
      </c>
      <c r="J15">
        <v>0.25</v>
      </c>
      <c r="K15">
        <v>44.7</v>
      </c>
      <c r="L15">
        <v>34.700000000000003</v>
      </c>
      <c r="M15">
        <v>34.299999999999997</v>
      </c>
      <c r="N15">
        <v>32.200000000000003</v>
      </c>
      <c r="O15">
        <v>22.7</v>
      </c>
      <c r="P15">
        <v>28.4</v>
      </c>
      <c r="Q15">
        <v>31.4</v>
      </c>
      <c r="R15">
        <v>21.2</v>
      </c>
      <c r="S15">
        <v>14</v>
      </c>
      <c r="T15">
        <v>5</v>
      </c>
      <c r="U15">
        <v>14.4</v>
      </c>
      <c r="V15">
        <v>33.299999999999997</v>
      </c>
      <c r="W15">
        <v>30.8</v>
      </c>
      <c r="X15">
        <v>21.4</v>
      </c>
      <c r="Y15">
        <v>43.1</v>
      </c>
      <c r="Z15">
        <v>56.9</v>
      </c>
      <c r="AA15">
        <v>73.599999999999994</v>
      </c>
      <c r="AB15">
        <v>28.4</v>
      </c>
      <c r="AC15">
        <v>27.5</v>
      </c>
      <c r="AD15">
        <v>4.7</v>
      </c>
      <c r="AE15">
        <v>0.39</v>
      </c>
    </row>
    <row r="16" spans="1:31" x14ac:dyDescent="0.25">
      <c r="A16" t="s">
        <v>71</v>
      </c>
      <c r="B16" t="s">
        <v>72</v>
      </c>
      <c r="C16" t="s">
        <v>72</v>
      </c>
      <c r="D16">
        <v>2025</v>
      </c>
      <c r="E16">
        <v>2</v>
      </c>
      <c r="F16" s="1">
        <v>45689</v>
      </c>
      <c r="G16">
        <v>16704</v>
      </c>
      <c r="H16">
        <v>32308</v>
      </c>
      <c r="I16">
        <v>14318</v>
      </c>
      <c r="J16">
        <v>0.22</v>
      </c>
      <c r="K16">
        <v>45.1</v>
      </c>
      <c r="L16">
        <v>34.4</v>
      </c>
      <c r="M16">
        <v>34.200000000000003</v>
      </c>
      <c r="N16">
        <v>29.8</v>
      </c>
      <c r="O16">
        <v>24.7</v>
      </c>
      <c r="P16">
        <v>33.5</v>
      </c>
      <c r="Q16">
        <v>30.9</v>
      </c>
      <c r="R16">
        <v>21.5</v>
      </c>
      <c r="S16">
        <v>12.1</v>
      </c>
      <c r="T16">
        <v>2</v>
      </c>
      <c r="U16">
        <v>16.5</v>
      </c>
      <c r="V16">
        <v>35.6</v>
      </c>
      <c r="W16">
        <v>30.3</v>
      </c>
      <c r="X16">
        <v>17.600000000000001</v>
      </c>
      <c r="Y16">
        <v>40.299999999999997</v>
      </c>
      <c r="Z16">
        <v>59.7</v>
      </c>
      <c r="AA16">
        <v>71</v>
      </c>
      <c r="AB16">
        <v>33.299999999999997</v>
      </c>
      <c r="AC16">
        <v>31.8</v>
      </c>
      <c r="AD16">
        <v>4.5999999999999996</v>
      </c>
      <c r="AE16">
        <v>0.38</v>
      </c>
    </row>
    <row r="17" spans="1:31" x14ac:dyDescent="0.25">
      <c r="A17" t="s">
        <v>71</v>
      </c>
      <c r="B17" t="s">
        <v>72</v>
      </c>
      <c r="C17" t="s">
        <v>72</v>
      </c>
      <c r="D17">
        <v>2025</v>
      </c>
      <c r="E17">
        <v>3</v>
      </c>
      <c r="F17" s="1">
        <v>45717</v>
      </c>
      <c r="G17">
        <v>17935</v>
      </c>
      <c r="H17">
        <v>50243</v>
      </c>
      <c r="I17">
        <v>15153</v>
      </c>
      <c r="J17">
        <v>0.22</v>
      </c>
      <c r="K17">
        <v>44.7</v>
      </c>
      <c r="L17">
        <v>33.200000000000003</v>
      </c>
      <c r="M17">
        <v>36</v>
      </c>
      <c r="N17">
        <v>33.799999999999997</v>
      </c>
      <c r="O17">
        <v>23.4</v>
      </c>
      <c r="P17">
        <v>30.9</v>
      </c>
      <c r="Q17">
        <v>30.8</v>
      </c>
      <c r="R17">
        <v>22.5</v>
      </c>
      <c r="S17">
        <v>10.8</v>
      </c>
      <c r="T17">
        <v>5</v>
      </c>
      <c r="U17">
        <v>14.7</v>
      </c>
      <c r="V17">
        <v>34</v>
      </c>
      <c r="W17">
        <v>28.6</v>
      </c>
      <c r="X17">
        <v>22.7</v>
      </c>
      <c r="Y17">
        <v>44.6</v>
      </c>
      <c r="Z17">
        <v>55.4</v>
      </c>
      <c r="AA17">
        <v>74.8</v>
      </c>
      <c r="AB17">
        <v>29.7</v>
      </c>
      <c r="AC17">
        <v>26.7</v>
      </c>
      <c r="AD17">
        <v>4.5</v>
      </c>
      <c r="AE17">
        <v>0.36</v>
      </c>
    </row>
    <row r="18" spans="1:31" x14ac:dyDescent="0.25">
      <c r="A18" t="s">
        <v>71</v>
      </c>
      <c r="B18" t="s">
        <v>72</v>
      </c>
      <c r="C18" t="s">
        <v>72</v>
      </c>
      <c r="D18">
        <v>2025</v>
      </c>
      <c r="E18">
        <v>4</v>
      </c>
      <c r="F18" s="1">
        <v>45748</v>
      </c>
      <c r="G18">
        <v>18614</v>
      </c>
      <c r="H18">
        <v>68857</v>
      </c>
      <c r="I18">
        <v>15501</v>
      </c>
      <c r="J18">
        <v>0.2</v>
      </c>
      <c r="K18">
        <v>44.5</v>
      </c>
      <c r="L18">
        <v>31.4</v>
      </c>
      <c r="M18">
        <v>33.700000000000003</v>
      </c>
      <c r="N18">
        <v>31.8</v>
      </c>
      <c r="O18">
        <v>25.2</v>
      </c>
      <c r="P18">
        <v>35.4</v>
      </c>
      <c r="Q18">
        <v>29</v>
      </c>
      <c r="R18">
        <v>19.5</v>
      </c>
      <c r="S18">
        <v>11.3</v>
      </c>
      <c r="T18">
        <v>4.8</v>
      </c>
      <c r="U18">
        <v>19.899999999999999</v>
      </c>
      <c r="V18">
        <v>33</v>
      </c>
      <c r="W18">
        <v>27.6</v>
      </c>
      <c r="X18">
        <v>19.5</v>
      </c>
      <c r="Y18">
        <v>43.8</v>
      </c>
      <c r="Z18">
        <v>56.2</v>
      </c>
      <c r="AA18">
        <v>68.599999999999994</v>
      </c>
      <c r="AB18">
        <v>23.8</v>
      </c>
      <c r="AC18">
        <v>21.5</v>
      </c>
      <c r="AD18">
        <v>4</v>
      </c>
      <c r="AE18">
        <v>0.39</v>
      </c>
    </row>
    <row r="19" spans="1:31" x14ac:dyDescent="0.25">
      <c r="A19" t="s">
        <v>71</v>
      </c>
      <c r="B19" t="s">
        <v>72</v>
      </c>
      <c r="C19" t="s">
        <v>72</v>
      </c>
      <c r="D19">
        <v>2025</v>
      </c>
      <c r="E19">
        <v>5</v>
      </c>
      <c r="F19" s="1">
        <v>45778</v>
      </c>
      <c r="G19">
        <v>18908</v>
      </c>
      <c r="H19">
        <v>87765</v>
      </c>
      <c r="I19">
        <v>16261</v>
      </c>
      <c r="J19">
        <v>0.2</v>
      </c>
      <c r="K19">
        <v>45.1</v>
      </c>
      <c r="L19">
        <v>34</v>
      </c>
      <c r="M19">
        <v>33.4</v>
      </c>
      <c r="N19">
        <v>31.1</v>
      </c>
      <c r="O19">
        <v>22.4</v>
      </c>
      <c r="P19">
        <v>33</v>
      </c>
      <c r="Q19">
        <v>26.5</v>
      </c>
      <c r="R19">
        <v>23.2</v>
      </c>
      <c r="S19">
        <v>13.6</v>
      </c>
      <c r="T19">
        <v>3.6</v>
      </c>
      <c r="U19">
        <v>14.4</v>
      </c>
      <c r="V19">
        <v>31.7</v>
      </c>
      <c r="W19">
        <v>30</v>
      </c>
      <c r="X19">
        <v>23.9</v>
      </c>
      <c r="Y19">
        <v>44.5</v>
      </c>
      <c r="Z19">
        <v>55.5</v>
      </c>
      <c r="AA19">
        <v>69.7</v>
      </c>
      <c r="AB19">
        <v>27.2</v>
      </c>
      <c r="AC19">
        <v>25.8</v>
      </c>
      <c r="AD19">
        <v>3.6</v>
      </c>
      <c r="AE19">
        <v>0.33</v>
      </c>
    </row>
    <row r="20" spans="1:31" x14ac:dyDescent="0.25">
      <c r="A20" t="s">
        <v>71</v>
      </c>
      <c r="B20" t="s">
        <v>72</v>
      </c>
      <c r="C20" t="s">
        <v>72</v>
      </c>
      <c r="D20">
        <v>2025</v>
      </c>
      <c r="E20">
        <v>6</v>
      </c>
      <c r="F20" s="1">
        <v>45809</v>
      </c>
      <c r="G20">
        <v>20629</v>
      </c>
      <c r="H20">
        <v>108394</v>
      </c>
      <c r="I20">
        <v>18023</v>
      </c>
      <c r="J20">
        <v>0.25</v>
      </c>
      <c r="K20">
        <v>46.1</v>
      </c>
      <c r="L20">
        <v>33.200000000000003</v>
      </c>
      <c r="M20">
        <v>34.6</v>
      </c>
      <c r="N20">
        <v>31.7</v>
      </c>
      <c r="O20">
        <v>23.5</v>
      </c>
      <c r="P20">
        <v>33.6</v>
      </c>
      <c r="Q20">
        <v>30.9</v>
      </c>
      <c r="R20">
        <v>21.1</v>
      </c>
      <c r="S20">
        <v>9.4</v>
      </c>
      <c r="T20">
        <v>5</v>
      </c>
      <c r="U20">
        <v>17.2</v>
      </c>
      <c r="V20">
        <v>33.5</v>
      </c>
      <c r="W20">
        <v>29.7</v>
      </c>
      <c r="X20">
        <v>19.5</v>
      </c>
      <c r="Y20">
        <v>42.6</v>
      </c>
      <c r="Z20">
        <v>57.4</v>
      </c>
      <c r="AA20">
        <v>70.3</v>
      </c>
      <c r="AB20">
        <v>27.1</v>
      </c>
      <c r="AC20">
        <v>27.8</v>
      </c>
      <c r="AD20">
        <v>3.9</v>
      </c>
      <c r="AE20">
        <v>0.31</v>
      </c>
    </row>
    <row r="21" spans="1:31" x14ac:dyDescent="0.25">
      <c r="A21" t="s">
        <v>71</v>
      </c>
      <c r="B21" t="s">
        <v>72</v>
      </c>
      <c r="C21" t="s">
        <v>72</v>
      </c>
      <c r="D21">
        <v>2025</v>
      </c>
      <c r="E21">
        <v>7</v>
      </c>
      <c r="F21" s="1">
        <v>45839</v>
      </c>
      <c r="G21">
        <v>19748</v>
      </c>
      <c r="H21">
        <v>128142</v>
      </c>
      <c r="I21">
        <v>16484</v>
      </c>
      <c r="J21">
        <v>0.2</v>
      </c>
      <c r="K21">
        <v>45.1</v>
      </c>
      <c r="L21">
        <v>31.8</v>
      </c>
      <c r="M21">
        <v>36.200000000000003</v>
      </c>
      <c r="N21">
        <v>31.3</v>
      </c>
      <c r="O21">
        <v>24.9</v>
      </c>
      <c r="P21">
        <v>29.5</v>
      </c>
      <c r="Q21">
        <v>30.1</v>
      </c>
      <c r="R21">
        <v>23.7</v>
      </c>
      <c r="S21">
        <v>11.8</v>
      </c>
      <c r="T21">
        <v>5</v>
      </c>
      <c r="U21">
        <v>17.399999999999999</v>
      </c>
      <c r="V21">
        <v>31.7</v>
      </c>
      <c r="W21">
        <v>29.8</v>
      </c>
      <c r="X21">
        <v>21</v>
      </c>
      <c r="Y21">
        <v>41.1</v>
      </c>
      <c r="Z21">
        <v>58.9</v>
      </c>
      <c r="AA21">
        <v>71.400000000000006</v>
      </c>
      <c r="AB21">
        <v>29.1</v>
      </c>
      <c r="AC21">
        <v>22.9</v>
      </c>
      <c r="AD21">
        <v>3.8</v>
      </c>
      <c r="AE21">
        <v>0.35</v>
      </c>
    </row>
    <row r="22" spans="1:31" x14ac:dyDescent="0.25">
      <c r="A22" t="s">
        <v>71</v>
      </c>
      <c r="B22" t="s">
        <v>72</v>
      </c>
      <c r="C22" t="s">
        <v>72</v>
      </c>
      <c r="D22">
        <v>2025</v>
      </c>
      <c r="E22">
        <v>8</v>
      </c>
      <c r="F22" s="1">
        <v>45870</v>
      </c>
      <c r="G22">
        <v>21985</v>
      </c>
      <c r="H22">
        <v>150127</v>
      </c>
      <c r="I22">
        <v>18096</v>
      </c>
      <c r="J22">
        <v>0.23</v>
      </c>
      <c r="K22">
        <v>44.9</v>
      </c>
      <c r="L22">
        <v>34.1</v>
      </c>
      <c r="M22">
        <v>34</v>
      </c>
      <c r="N22">
        <v>34.5</v>
      </c>
      <c r="O22">
        <v>24.2</v>
      </c>
      <c r="P22">
        <v>35.5</v>
      </c>
      <c r="Q22">
        <v>26.6</v>
      </c>
      <c r="R22">
        <v>22.2</v>
      </c>
      <c r="S22">
        <v>13.7</v>
      </c>
      <c r="T22">
        <v>2</v>
      </c>
      <c r="U22">
        <v>15.1</v>
      </c>
      <c r="V22">
        <v>30.4</v>
      </c>
      <c r="W22">
        <v>29.7</v>
      </c>
      <c r="X22">
        <v>24.8</v>
      </c>
      <c r="Y22">
        <v>43.4</v>
      </c>
      <c r="Z22">
        <v>56.6</v>
      </c>
      <c r="AA22">
        <v>69.099999999999994</v>
      </c>
      <c r="AB22">
        <v>33.1</v>
      </c>
      <c r="AC22">
        <v>22.4</v>
      </c>
      <c r="AD22">
        <v>4.2</v>
      </c>
      <c r="AE22">
        <v>0.34</v>
      </c>
    </row>
    <row r="23" spans="1:31" x14ac:dyDescent="0.25">
      <c r="A23" t="s">
        <v>71</v>
      </c>
      <c r="B23" t="s">
        <v>72</v>
      </c>
      <c r="C23" t="s">
        <v>72</v>
      </c>
      <c r="D23">
        <v>2025</v>
      </c>
      <c r="E23">
        <v>9</v>
      </c>
      <c r="F23" s="1">
        <v>45901</v>
      </c>
      <c r="G23">
        <v>24210</v>
      </c>
      <c r="H23">
        <v>174337</v>
      </c>
      <c r="I23">
        <v>20422</v>
      </c>
      <c r="J23">
        <v>0.28999999999999998</v>
      </c>
      <c r="K23">
        <v>45.8</v>
      </c>
      <c r="L23">
        <v>34.6</v>
      </c>
      <c r="M23">
        <v>34.1</v>
      </c>
      <c r="N23">
        <v>34.6</v>
      </c>
      <c r="O23">
        <v>25.6</v>
      </c>
      <c r="P23">
        <v>33.9</v>
      </c>
      <c r="Q23">
        <v>28.7</v>
      </c>
      <c r="R23">
        <v>19.5</v>
      </c>
      <c r="S23">
        <v>13</v>
      </c>
      <c r="T23">
        <v>5</v>
      </c>
      <c r="U23">
        <v>17.7</v>
      </c>
      <c r="V23">
        <v>33.200000000000003</v>
      </c>
      <c r="W23">
        <v>30.5</v>
      </c>
      <c r="X23">
        <v>18.600000000000001</v>
      </c>
      <c r="Y23">
        <v>44.7</v>
      </c>
      <c r="Z23">
        <v>55.3</v>
      </c>
      <c r="AA23">
        <v>70.5</v>
      </c>
      <c r="AB23">
        <v>25.5</v>
      </c>
      <c r="AC23">
        <v>28.9</v>
      </c>
      <c r="AD23">
        <v>4</v>
      </c>
      <c r="AE23">
        <v>0.38</v>
      </c>
    </row>
    <row r="24" spans="1:31" x14ac:dyDescent="0.25">
      <c r="A24" t="s">
        <v>71</v>
      </c>
      <c r="B24" t="s">
        <v>72</v>
      </c>
      <c r="C24" t="s">
        <v>72</v>
      </c>
      <c r="D24">
        <v>2025</v>
      </c>
      <c r="E24">
        <v>10</v>
      </c>
      <c r="F24" s="1">
        <v>45931</v>
      </c>
      <c r="G24">
        <v>21410</v>
      </c>
      <c r="H24">
        <v>195747</v>
      </c>
      <c r="I24">
        <v>18643</v>
      </c>
      <c r="J24">
        <v>0.2</v>
      </c>
      <c r="K24">
        <v>45.7</v>
      </c>
      <c r="L24">
        <v>33.1</v>
      </c>
      <c r="M24">
        <v>34</v>
      </c>
      <c r="N24">
        <v>34.799999999999997</v>
      </c>
      <c r="O24">
        <v>26.9</v>
      </c>
      <c r="P24">
        <v>31.8</v>
      </c>
      <c r="Q24">
        <v>29.2</v>
      </c>
      <c r="R24">
        <v>24.2</v>
      </c>
      <c r="S24">
        <v>9.8000000000000007</v>
      </c>
      <c r="T24">
        <v>5</v>
      </c>
      <c r="U24">
        <v>17.5</v>
      </c>
      <c r="V24">
        <v>33</v>
      </c>
      <c r="W24">
        <v>29.1</v>
      </c>
      <c r="X24">
        <v>20.399999999999999</v>
      </c>
      <c r="Y24">
        <v>40.1</v>
      </c>
      <c r="Z24">
        <v>59.9</v>
      </c>
      <c r="AA24">
        <v>75.5</v>
      </c>
      <c r="AB24">
        <v>29.9</v>
      </c>
      <c r="AC24">
        <v>28.4</v>
      </c>
      <c r="AD24">
        <v>4.3</v>
      </c>
      <c r="AE24">
        <v>0.34</v>
      </c>
    </row>
    <row r="25" spans="1:31" x14ac:dyDescent="0.25">
      <c r="A25" t="s">
        <v>71</v>
      </c>
      <c r="B25" t="s">
        <v>72</v>
      </c>
      <c r="C25" t="s">
        <v>72</v>
      </c>
      <c r="D25">
        <v>2025</v>
      </c>
      <c r="E25">
        <v>11</v>
      </c>
      <c r="F25" s="1">
        <v>45962</v>
      </c>
      <c r="G25">
        <v>24444</v>
      </c>
      <c r="H25">
        <v>220191</v>
      </c>
      <c r="I25">
        <v>21414</v>
      </c>
      <c r="J25">
        <v>0.31</v>
      </c>
      <c r="K25">
        <v>45.9</v>
      </c>
      <c r="L25">
        <v>30.8</v>
      </c>
      <c r="M25">
        <v>36.6</v>
      </c>
      <c r="N25">
        <v>32.700000000000003</v>
      </c>
      <c r="O25">
        <v>28.1</v>
      </c>
      <c r="P25">
        <v>31.1</v>
      </c>
      <c r="Q25">
        <v>28.7</v>
      </c>
      <c r="R25">
        <v>21.6</v>
      </c>
      <c r="S25">
        <v>13.6</v>
      </c>
      <c r="T25">
        <v>5</v>
      </c>
      <c r="U25">
        <v>16.100000000000001</v>
      </c>
      <c r="V25">
        <v>32.1</v>
      </c>
      <c r="W25">
        <v>29.7</v>
      </c>
      <c r="X25">
        <v>22.2</v>
      </c>
      <c r="Y25">
        <v>42.7</v>
      </c>
      <c r="Z25">
        <v>57.3</v>
      </c>
      <c r="AA25">
        <v>71.599999999999994</v>
      </c>
      <c r="AB25">
        <v>24</v>
      </c>
      <c r="AC25">
        <v>22.1</v>
      </c>
      <c r="AD25">
        <v>4.3</v>
      </c>
      <c r="AE25">
        <v>0.36</v>
      </c>
    </row>
    <row r="26" spans="1:31" x14ac:dyDescent="0.25">
      <c r="A26" t="s">
        <v>71</v>
      </c>
      <c r="B26" t="s">
        <v>72</v>
      </c>
      <c r="C26" t="s">
        <v>72</v>
      </c>
      <c r="D26">
        <v>2025</v>
      </c>
      <c r="E26">
        <v>12</v>
      </c>
      <c r="F26" s="1">
        <v>45992</v>
      </c>
      <c r="G26">
        <v>22383</v>
      </c>
      <c r="H26">
        <v>242574</v>
      </c>
      <c r="I26">
        <v>19245</v>
      </c>
      <c r="J26">
        <v>0.2</v>
      </c>
      <c r="K26">
        <v>47.4</v>
      </c>
      <c r="L26">
        <v>30.9</v>
      </c>
      <c r="M26">
        <v>33.700000000000003</v>
      </c>
      <c r="N26">
        <v>36.5</v>
      </c>
      <c r="O26">
        <v>26.8</v>
      </c>
      <c r="P26">
        <v>32.799999999999997</v>
      </c>
      <c r="Q26">
        <v>30.2</v>
      </c>
      <c r="R26">
        <v>19.2</v>
      </c>
      <c r="S26">
        <v>12.9</v>
      </c>
      <c r="T26">
        <v>5</v>
      </c>
      <c r="U26">
        <v>16.7</v>
      </c>
      <c r="V26">
        <v>33.1</v>
      </c>
      <c r="W26">
        <v>28.2</v>
      </c>
      <c r="X26">
        <v>21.9</v>
      </c>
      <c r="Y26">
        <v>42.4</v>
      </c>
      <c r="Z26">
        <v>57.6</v>
      </c>
      <c r="AA26">
        <v>69.2</v>
      </c>
      <c r="AB26">
        <v>24.5</v>
      </c>
      <c r="AC26">
        <v>30.3</v>
      </c>
      <c r="AD26">
        <v>4.0999999999999996</v>
      </c>
      <c r="AE26">
        <v>0.3</v>
      </c>
    </row>
    <row r="27" spans="1:31" x14ac:dyDescent="0.25">
      <c r="A27" t="s">
        <v>71</v>
      </c>
      <c r="B27" t="s">
        <v>72</v>
      </c>
      <c r="C27" t="s">
        <v>72</v>
      </c>
      <c r="D27">
        <v>2026</v>
      </c>
      <c r="E27">
        <v>1</v>
      </c>
      <c r="F27" s="1">
        <v>46023</v>
      </c>
      <c r="G27">
        <v>23620</v>
      </c>
      <c r="H27">
        <v>266194</v>
      </c>
      <c r="I27">
        <v>20383</v>
      </c>
      <c r="J27">
        <v>0.27</v>
      </c>
      <c r="K27">
        <v>44.6</v>
      </c>
      <c r="L27">
        <v>34.200000000000003</v>
      </c>
      <c r="M27">
        <v>36.200000000000003</v>
      </c>
      <c r="N27">
        <v>32.9</v>
      </c>
      <c r="O27">
        <v>25.6</v>
      </c>
      <c r="P27">
        <v>34.6</v>
      </c>
      <c r="Q27">
        <v>28.4</v>
      </c>
      <c r="R27">
        <v>22</v>
      </c>
      <c r="S27">
        <v>10</v>
      </c>
      <c r="T27">
        <v>4.9000000000000004</v>
      </c>
      <c r="U27">
        <v>15.8</v>
      </c>
      <c r="V27">
        <v>35.4</v>
      </c>
      <c r="W27">
        <v>26.1</v>
      </c>
      <c r="X27">
        <v>22.8</v>
      </c>
      <c r="Y27">
        <v>40.5</v>
      </c>
      <c r="Z27">
        <v>59.5</v>
      </c>
      <c r="AA27">
        <v>68.2</v>
      </c>
      <c r="AB27">
        <v>24.5</v>
      </c>
      <c r="AC27">
        <v>27</v>
      </c>
      <c r="AD27">
        <v>3.9</v>
      </c>
      <c r="AE27">
        <v>0.34</v>
      </c>
    </row>
    <row r="28" spans="1:31" x14ac:dyDescent="0.25">
      <c r="A28" t="s">
        <v>78</v>
      </c>
      <c r="B28" t="s">
        <v>51</v>
      </c>
      <c r="C28" t="s">
        <v>52</v>
      </c>
      <c r="D28">
        <v>2025</v>
      </c>
      <c r="E28">
        <v>1</v>
      </c>
      <c r="F28" s="1">
        <v>45658</v>
      </c>
      <c r="G28">
        <v>17356</v>
      </c>
      <c r="H28">
        <v>17356</v>
      </c>
      <c r="I28">
        <v>14511</v>
      </c>
      <c r="J28">
        <v>0.27</v>
      </c>
      <c r="K28">
        <v>45.7</v>
      </c>
      <c r="L28">
        <v>33.6</v>
      </c>
      <c r="M28">
        <v>40.5</v>
      </c>
      <c r="N28">
        <v>29.4</v>
      </c>
      <c r="O28">
        <v>25.9</v>
      </c>
      <c r="P28">
        <v>33.799999999999997</v>
      </c>
      <c r="Q28">
        <v>30.9</v>
      </c>
      <c r="R28">
        <v>20.6</v>
      </c>
      <c r="S28">
        <v>9.6999999999999993</v>
      </c>
      <c r="T28">
        <v>5</v>
      </c>
      <c r="U28">
        <v>19</v>
      </c>
      <c r="V28">
        <v>35.9</v>
      </c>
      <c r="W28">
        <v>28.6</v>
      </c>
      <c r="X28">
        <v>16.5</v>
      </c>
      <c r="Y28">
        <v>41</v>
      </c>
      <c r="Z28">
        <v>59</v>
      </c>
      <c r="AA28">
        <v>68.099999999999994</v>
      </c>
      <c r="AB28">
        <v>34.799999999999997</v>
      </c>
      <c r="AC28">
        <v>21.4</v>
      </c>
      <c r="AD28">
        <v>4.5999999999999996</v>
      </c>
      <c r="AE28">
        <v>0.32</v>
      </c>
    </row>
    <row r="29" spans="1:31" x14ac:dyDescent="0.25">
      <c r="A29" t="s">
        <v>78</v>
      </c>
      <c r="B29" t="s">
        <v>51</v>
      </c>
      <c r="C29" t="s">
        <v>52</v>
      </c>
      <c r="D29">
        <v>2025</v>
      </c>
      <c r="E29">
        <v>2</v>
      </c>
      <c r="F29" s="1">
        <v>45689</v>
      </c>
      <c r="G29">
        <v>16983</v>
      </c>
      <c r="H29">
        <v>34339</v>
      </c>
      <c r="I29">
        <v>14065</v>
      </c>
      <c r="J29">
        <v>0.31</v>
      </c>
      <c r="K29">
        <v>47.1</v>
      </c>
      <c r="L29">
        <v>34.9</v>
      </c>
      <c r="M29">
        <v>42.1</v>
      </c>
      <c r="N29">
        <v>26.6</v>
      </c>
      <c r="O29">
        <v>26.9</v>
      </c>
      <c r="P29">
        <v>32.4</v>
      </c>
      <c r="Q29">
        <v>30.2</v>
      </c>
      <c r="R29">
        <v>21.6</v>
      </c>
      <c r="S29">
        <v>10.8</v>
      </c>
      <c r="T29">
        <v>5</v>
      </c>
      <c r="U29">
        <v>18.3</v>
      </c>
      <c r="V29">
        <v>31.8</v>
      </c>
      <c r="W29">
        <v>28.8</v>
      </c>
      <c r="X29">
        <v>21.1</v>
      </c>
      <c r="Y29">
        <v>42.9</v>
      </c>
      <c r="Z29">
        <v>57.1</v>
      </c>
      <c r="AA29">
        <v>75.5</v>
      </c>
      <c r="AB29">
        <v>32.299999999999997</v>
      </c>
      <c r="AC29">
        <v>22.6</v>
      </c>
      <c r="AD29">
        <v>4.2</v>
      </c>
      <c r="AE29">
        <v>0.36</v>
      </c>
    </row>
    <row r="30" spans="1:31" x14ac:dyDescent="0.25">
      <c r="A30" t="s">
        <v>78</v>
      </c>
      <c r="B30" t="s">
        <v>51</v>
      </c>
      <c r="C30" t="s">
        <v>52</v>
      </c>
      <c r="D30">
        <v>2025</v>
      </c>
      <c r="E30">
        <v>3</v>
      </c>
      <c r="F30" s="1">
        <v>45717</v>
      </c>
      <c r="G30">
        <v>19217</v>
      </c>
      <c r="H30">
        <v>53556</v>
      </c>
      <c r="I30">
        <v>16646</v>
      </c>
      <c r="J30">
        <v>0.19</v>
      </c>
      <c r="K30">
        <v>44.7</v>
      </c>
      <c r="L30">
        <v>36.200000000000003</v>
      </c>
      <c r="M30">
        <v>42.4</v>
      </c>
      <c r="N30">
        <v>27.9</v>
      </c>
      <c r="O30">
        <v>24.6</v>
      </c>
      <c r="P30">
        <v>30.5</v>
      </c>
      <c r="Q30">
        <v>32.799999999999997</v>
      </c>
      <c r="R30">
        <v>21.8</v>
      </c>
      <c r="S30">
        <v>9.9</v>
      </c>
      <c r="T30">
        <v>5</v>
      </c>
      <c r="U30">
        <v>17.3</v>
      </c>
      <c r="V30">
        <v>35.200000000000003</v>
      </c>
      <c r="W30">
        <v>29.7</v>
      </c>
      <c r="X30">
        <v>17.8</v>
      </c>
      <c r="Y30">
        <v>44.8</v>
      </c>
      <c r="Z30">
        <v>55.2</v>
      </c>
      <c r="AA30">
        <v>73.5</v>
      </c>
      <c r="AB30">
        <v>33.9</v>
      </c>
      <c r="AC30">
        <v>23</v>
      </c>
      <c r="AD30">
        <v>3.6</v>
      </c>
      <c r="AE30">
        <v>0.37</v>
      </c>
    </row>
    <row r="31" spans="1:31" x14ac:dyDescent="0.25">
      <c r="A31" t="s">
        <v>78</v>
      </c>
      <c r="B31" t="s">
        <v>51</v>
      </c>
      <c r="C31" t="s">
        <v>52</v>
      </c>
      <c r="D31">
        <v>2025</v>
      </c>
      <c r="E31">
        <v>4</v>
      </c>
      <c r="F31" s="1">
        <v>45748</v>
      </c>
      <c r="G31">
        <v>21084</v>
      </c>
      <c r="H31">
        <v>74640</v>
      </c>
      <c r="I31">
        <v>17517</v>
      </c>
      <c r="J31">
        <v>0.26</v>
      </c>
      <c r="K31">
        <v>47.2</v>
      </c>
      <c r="L31">
        <v>34.9</v>
      </c>
      <c r="M31">
        <v>40.9</v>
      </c>
      <c r="N31">
        <v>30.2</v>
      </c>
      <c r="O31">
        <v>27.9</v>
      </c>
      <c r="P31">
        <v>32.799999999999997</v>
      </c>
      <c r="Q31">
        <v>29</v>
      </c>
      <c r="R31">
        <v>20.7</v>
      </c>
      <c r="S31">
        <v>12.5</v>
      </c>
      <c r="T31">
        <v>5</v>
      </c>
      <c r="U31">
        <v>16</v>
      </c>
      <c r="V31">
        <v>34.299999999999997</v>
      </c>
      <c r="W31">
        <v>26.3</v>
      </c>
      <c r="X31">
        <v>23.3</v>
      </c>
      <c r="Y31">
        <v>41.9</v>
      </c>
      <c r="Z31">
        <v>58.1</v>
      </c>
      <c r="AA31">
        <v>74.3</v>
      </c>
      <c r="AB31">
        <v>26.5</v>
      </c>
      <c r="AC31">
        <v>27.5</v>
      </c>
      <c r="AD31">
        <v>4.5999999999999996</v>
      </c>
      <c r="AE31">
        <v>0.3</v>
      </c>
    </row>
    <row r="32" spans="1:31" x14ac:dyDescent="0.25">
      <c r="A32" t="s">
        <v>78</v>
      </c>
      <c r="B32" t="s">
        <v>51</v>
      </c>
      <c r="C32" t="s">
        <v>52</v>
      </c>
      <c r="D32">
        <v>2025</v>
      </c>
      <c r="E32">
        <v>5</v>
      </c>
      <c r="F32" s="1">
        <v>45778</v>
      </c>
      <c r="G32">
        <v>22040</v>
      </c>
      <c r="H32">
        <v>96680</v>
      </c>
      <c r="I32">
        <v>18772</v>
      </c>
      <c r="J32">
        <v>0.31</v>
      </c>
      <c r="K32">
        <v>46.9</v>
      </c>
      <c r="L32">
        <v>33.5</v>
      </c>
      <c r="M32">
        <v>43</v>
      </c>
      <c r="N32">
        <v>28.4</v>
      </c>
      <c r="O32">
        <v>26.3</v>
      </c>
      <c r="P32">
        <v>32</v>
      </c>
      <c r="Q32">
        <v>30.5</v>
      </c>
      <c r="R32">
        <v>22.1</v>
      </c>
      <c r="S32">
        <v>10.5</v>
      </c>
      <c r="T32">
        <v>5</v>
      </c>
      <c r="U32">
        <v>15.4</v>
      </c>
      <c r="V32">
        <v>30.3</v>
      </c>
      <c r="W32">
        <v>26.1</v>
      </c>
      <c r="X32">
        <v>28.3</v>
      </c>
      <c r="Y32">
        <v>45.9</v>
      </c>
      <c r="Z32">
        <v>54.1</v>
      </c>
      <c r="AA32">
        <v>71.099999999999994</v>
      </c>
      <c r="AB32">
        <v>31.5</v>
      </c>
      <c r="AC32">
        <v>22.6</v>
      </c>
      <c r="AD32">
        <v>4.7</v>
      </c>
      <c r="AE32">
        <v>0.39</v>
      </c>
    </row>
    <row r="33" spans="1:31" x14ac:dyDescent="0.25">
      <c r="A33" t="s">
        <v>78</v>
      </c>
      <c r="B33" t="s">
        <v>51</v>
      </c>
      <c r="C33" t="s">
        <v>52</v>
      </c>
      <c r="D33">
        <v>2025</v>
      </c>
      <c r="E33">
        <v>6</v>
      </c>
      <c r="F33" s="1">
        <v>45809</v>
      </c>
      <c r="G33">
        <v>21732</v>
      </c>
      <c r="H33">
        <v>118412</v>
      </c>
      <c r="I33">
        <v>18620</v>
      </c>
      <c r="J33">
        <v>0.2</v>
      </c>
      <c r="K33">
        <v>47.5</v>
      </c>
      <c r="L33">
        <v>36.4</v>
      </c>
      <c r="M33">
        <v>42.6</v>
      </c>
      <c r="N33">
        <v>29.5</v>
      </c>
      <c r="O33">
        <v>26.9</v>
      </c>
      <c r="P33">
        <v>34.1</v>
      </c>
      <c r="Q33">
        <v>30.8</v>
      </c>
      <c r="R33">
        <v>23.2</v>
      </c>
      <c r="S33">
        <v>9.9</v>
      </c>
      <c r="T33">
        <v>2</v>
      </c>
      <c r="U33">
        <v>16.399999999999999</v>
      </c>
      <c r="V33">
        <v>34.5</v>
      </c>
      <c r="W33">
        <v>29.5</v>
      </c>
      <c r="X33">
        <v>19.600000000000001</v>
      </c>
      <c r="Y33">
        <v>40.9</v>
      </c>
      <c r="Z33">
        <v>59.1</v>
      </c>
      <c r="AA33">
        <v>69.8</v>
      </c>
      <c r="AB33">
        <v>25.1</v>
      </c>
      <c r="AC33">
        <v>26.4</v>
      </c>
      <c r="AD33">
        <v>3.9</v>
      </c>
      <c r="AE33">
        <v>0.31</v>
      </c>
    </row>
    <row r="34" spans="1:31" x14ac:dyDescent="0.25">
      <c r="A34" t="s">
        <v>78</v>
      </c>
      <c r="B34" t="s">
        <v>51</v>
      </c>
      <c r="C34" t="s">
        <v>52</v>
      </c>
      <c r="D34">
        <v>2025</v>
      </c>
      <c r="E34">
        <v>7</v>
      </c>
      <c r="F34" s="1">
        <v>45839</v>
      </c>
      <c r="G34">
        <v>24324</v>
      </c>
      <c r="H34">
        <v>142736</v>
      </c>
      <c r="I34">
        <v>21340</v>
      </c>
      <c r="J34">
        <v>0.3</v>
      </c>
      <c r="K34">
        <v>46.9</v>
      </c>
      <c r="L34">
        <v>35.9</v>
      </c>
      <c r="M34">
        <v>40.5</v>
      </c>
      <c r="N34">
        <v>29</v>
      </c>
      <c r="O34">
        <v>26.7</v>
      </c>
      <c r="P34">
        <v>32</v>
      </c>
      <c r="Q34">
        <v>28.9</v>
      </c>
      <c r="R34">
        <v>21.6</v>
      </c>
      <c r="S34">
        <v>13.1</v>
      </c>
      <c r="T34">
        <v>4.5</v>
      </c>
      <c r="U34">
        <v>16.100000000000001</v>
      </c>
      <c r="V34">
        <v>34.1</v>
      </c>
      <c r="W34">
        <v>28.8</v>
      </c>
      <c r="X34">
        <v>21</v>
      </c>
      <c r="Y34">
        <v>41.6</v>
      </c>
      <c r="Z34">
        <v>58.4</v>
      </c>
      <c r="AA34">
        <v>74.400000000000006</v>
      </c>
      <c r="AB34">
        <v>31.2</v>
      </c>
      <c r="AC34">
        <v>30.2</v>
      </c>
      <c r="AD34">
        <v>4.4000000000000004</v>
      </c>
      <c r="AE34">
        <v>0.36</v>
      </c>
    </row>
    <row r="35" spans="1:31" x14ac:dyDescent="0.25">
      <c r="A35" t="s">
        <v>78</v>
      </c>
      <c r="B35" t="s">
        <v>51</v>
      </c>
      <c r="C35" t="s">
        <v>52</v>
      </c>
      <c r="D35">
        <v>2025</v>
      </c>
      <c r="E35">
        <v>8</v>
      </c>
      <c r="F35" s="1">
        <v>45870</v>
      </c>
      <c r="G35">
        <v>24921</v>
      </c>
      <c r="H35">
        <v>167657</v>
      </c>
      <c r="I35">
        <v>20672</v>
      </c>
      <c r="J35">
        <v>0.3</v>
      </c>
      <c r="K35">
        <v>47.1</v>
      </c>
      <c r="L35">
        <v>36.4</v>
      </c>
      <c r="M35">
        <v>40.9</v>
      </c>
      <c r="N35">
        <v>29</v>
      </c>
      <c r="O35">
        <v>28.6</v>
      </c>
      <c r="P35">
        <v>33.4</v>
      </c>
      <c r="Q35">
        <v>27.8</v>
      </c>
      <c r="R35">
        <v>22.1</v>
      </c>
      <c r="S35">
        <v>11.7</v>
      </c>
      <c r="T35">
        <v>5</v>
      </c>
      <c r="U35">
        <v>18.7</v>
      </c>
      <c r="V35">
        <v>30.6</v>
      </c>
      <c r="W35">
        <v>29.8</v>
      </c>
      <c r="X35">
        <v>20.9</v>
      </c>
      <c r="Y35">
        <v>43.2</v>
      </c>
      <c r="Z35">
        <v>56.8</v>
      </c>
      <c r="AA35">
        <v>70.7</v>
      </c>
      <c r="AB35">
        <v>30.9</v>
      </c>
      <c r="AC35">
        <v>31.2</v>
      </c>
      <c r="AD35">
        <v>4</v>
      </c>
      <c r="AE35">
        <v>0.37</v>
      </c>
    </row>
    <row r="36" spans="1:31" x14ac:dyDescent="0.25">
      <c r="A36" t="s">
        <v>78</v>
      </c>
      <c r="B36" t="s">
        <v>51</v>
      </c>
      <c r="C36" t="s">
        <v>52</v>
      </c>
      <c r="D36">
        <v>2025</v>
      </c>
      <c r="E36">
        <v>9</v>
      </c>
      <c r="F36" s="1">
        <v>45901</v>
      </c>
      <c r="G36">
        <v>23274</v>
      </c>
      <c r="H36">
        <v>190931</v>
      </c>
      <c r="I36">
        <v>19897</v>
      </c>
      <c r="J36">
        <v>0.23</v>
      </c>
      <c r="K36">
        <v>46.4</v>
      </c>
      <c r="L36">
        <v>35.200000000000003</v>
      </c>
      <c r="M36">
        <v>44.4</v>
      </c>
      <c r="N36">
        <v>31.9</v>
      </c>
      <c r="O36">
        <v>29</v>
      </c>
      <c r="P36">
        <v>31.8</v>
      </c>
      <c r="Q36">
        <v>27.8</v>
      </c>
      <c r="R36">
        <v>24.2</v>
      </c>
      <c r="S36">
        <v>11.1</v>
      </c>
      <c r="T36">
        <v>5</v>
      </c>
      <c r="U36">
        <v>16.7</v>
      </c>
      <c r="V36">
        <v>31</v>
      </c>
      <c r="W36">
        <v>30</v>
      </c>
      <c r="X36">
        <v>22.3</v>
      </c>
      <c r="Y36">
        <v>44.2</v>
      </c>
      <c r="Z36">
        <v>55.8</v>
      </c>
      <c r="AA36">
        <v>68.7</v>
      </c>
      <c r="AB36">
        <v>31.5</v>
      </c>
      <c r="AC36">
        <v>27.9</v>
      </c>
      <c r="AD36">
        <v>4.7</v>
      </c>
      <c r="AE36">
        <v>0.34</v>
      </c>
    </row>
    <row r="37" spans="1:31" x14ac:dyDescent="0.25">
      <c r="A37" t="s">
        <v>78</v>
      </c>
      <c r="B37" t="s">
        <v>51</v>
      </c>
      <c r="C37" t="s">
        <v>52</v>
      </c>
      <c r="D37">
        <v>2025</v>
      </c>
      <c r="E37">
        <v>10</v>
      </c>
      <c r="F37" s="1">
        <v>45931</v>
      </c>
      <c r="G37">
        <v>25559</v>
      </c>
      <c r="H37">
        <v>216490</v>
      </c>
      <c r="I37">
        <v>21568</v>
      </c>
      <c r="J37">
        <v>0.22</v>
      </c>
      <c r="K37">
        <v>47.5</v>
      </c>
      <c r="L37">
        <v>35.6</v>
      </c>
      <c r="M37">
        <v>41.6</v>
      </c>
      <c r="N37">
        <v>29.2</v>
      </c>
      <c r="O37">
        <v>26.5</v>
      </c>
      <c r="P37">
        <v>33.4</v>
      </c>
      <c r="Q37">
        <v>30.5</v>
      </c>
      <c r="R37">
        <v>22</v>
      </c>
      <c r="S37">
        <v>12.1</v>
      </c>
      <c r="T37">
        <v>2</v>
      </c>
      <c r="U37">
        <v>14.8</v>
      </c>
      <c r="V37">
        <v>30.2</v>
      </c>
      <c r="W37">
        <v>30.6</v>
      </c>
      <c r="X37">
        <v>24.4</v>
      </c>
      <c r="Y37">
        <v>43.7</v>
      </c>
      <c r="Z37">
        <v>56.3</v>
      </c>
      <c r="AA37">
        <v>71.900000000000006</v>
      </c>
      <c r="AB37">
        <v>23.6</v>
      </c>
      <c r="AC37">
        <v>21.5</v>
      </c>
      <c r="AD37">
        <v>3.7</v>
      </c>
      <c r="AE37">
        <v>0.36</v>
      </c>
    </row>
    <row r="38" spans="1:31" x14ac:dyDescent="0.25">
      <c r="A38" t="s">
        <v>78</v>
      </c>
      <c r="B38" t="s">
        <v>51</v>
      </c>
      <c r="C38" t="s">
        <v>52</v>
      </c>
      <c r="D38">
        <v>2025</v>
      </c>
      <c r="E38">
        <v>11</v>
      </c>
      <c r="F38" s="1">
        <v>45962</v>
      </c>
      <c r="G38">
        <v>24841</v>
      </c>
      <c r="H38">
        <v>241331</v>
      </c>
      <c r="I38">
        <v>21558</v>
      </c>
      <c r="J38">
        <v>0.22</v>
      </c>
      <c r="K38">
        <v>45.9</v>
      </c>
      <c r="L38">
        <v>33.5</v>
      </c>
      <c r="M38">
        <v>42.4</v>
      </c>
      <c r="N38">
        <v>30.5</v>
      </c>
      <c r="O38">
        <v>29.2</v>
      </c>
      <c r="P38">
        <v>35.9</v>
      </c>
      <c r="Q38">
        <v>26.9</v>
      </c>
      <c r="R38">
        <v>21</v>
      </c>
      <c r="S38">
        <v>12.1</v>
      </c>
      <c r="T38">
        <v>4.2</v>
      </c>
      <c r="U38">
        <v>18.2</v>
      </c>
      <c r="V38">
        <v>33.4</v>
      </c>
      <c r="W38">
        <v>26</v>
      </c>
      <c r="X38">
        <v>22.4</v>
      </c>
      <c r="Y38">
        <v>42</v>
      </c>
      <c r="Z38">
        <v>58</v>
      </c>
      <c r="AA38">
        <v>68.7</v>
      </c>
      <c r="AB38">
        <v>26.9</v>
      </c>
      <c r="AC38">
        <v>20.399999999999999</v>
      </c>
      <c r="AD38">
        <v>4.4000000000000004</v>
      </c>
      <c r="AE38">
        <v>0.38</v>
      </c>
    </row>
    <row r="39" spans="1:31" x14ac:dyDescent="0.25">
      <c r="A39" t="s">
        <v>78</v>
      </c>
      <c r="B39" t="s">
        <v>51</v>
      </c>
      <c r="C39" t="s">
        <v>52</v>
      </c>
      <c r="D39">
        <v>2025</v>
      </c>
      <c r="E39">
        <v>12</v>
      </c>
      <c r="F39" s="1">
        <v>45992</v>
      </c>
      <c r="G39">
        <v>25309</v>
      </c>
      <c r="H39">
        <v>266640</v>
      </c>
      <c r="I39">
        <v>21007</v>
      </c>
      <c r="J39">
        <v>0.19</v>
      </c>
      <c r="K39">
        <v>46.4</v>
      </c>
      <c r="L39">
        <v>36.1</v>
      </c>
      <c r="M39">
        <v>44.7</v>
      </c>
      <c r="N39">
        <v>29.1</v>
      </c>
      <c r="O39">
        <v>29.4</v>
      </c>
      <c r="P39">
        <v>32.4</v>
      </c>
      <c r="Q39">
        <v>30.9</v>
      </c>
      <c r="R39">
        <v>20.7</v>
      </c>
      <c r="S39">
        <v>12.2</v>
      </c>
      <c r="T39">
        <v>3.8</v>
      </c>
      <c r="U39">
        <v>17.2</v>
      </c>
      <c r="V39">
        <v>34.4</v>
      </c>
      <c r="W39">
        <v>26.4</v>
      </c>
      <c r="X39">
        <v>22</v>
      </c>
      <c r="Y39">
        <v>40.4</v>
      </c>
      <c r="Z39">
        <v>59.6</v>
      </c>
      <c r="AA39">
        <v>69.3</v>
      </c>
      <c r="AB39">
        <v>34.200000000000003</v>
      </c>
      <c r="AC39">
        <v>22.6</v>
      </c>
      <c r="AD39">
        <v>4.4000000000000004</v>
      </c>
      <c r="AE39">
        <v>0.35</v>
      </c>
    </row>
    <row r="40" spans="1:31" x14ac:dyDescent="0.25">
      <c r="A40" t="s">
        <v>78</v>
      </c>
      <c r="B40" t="s">
        <v>51</v>
      </c>
      <c r="C40" t="s">
        <v>52</v>
      </c>
      <c r="D40">
        <v>2026</v>
      </c>
      <c r="E40">
        <v>1</v>
      </c>
      <c r="F40" s="1">
        <v>46023</v>
      </c>
      <c r="G40">
        <v>27616</v>
      </c>
      <c r="H40">
        <v>294256</v>
      </c>
      <c r="I40">
        <v>23836</v>
      </c>
      <c r="J40">
        <v>0.21</v>
      </c>
      <c r="K40">
        <v>47.5</v>
      </c>
      <c r="L40">
        <v>33.9</v>
      </c>
      <c r="M40">
        <v>41.9</v>
      </c>
      <c r="N40">
        <v>31.9</v>
      </c>
      <c r="O40">
        <v>27.9</v>
      </c>
      <c r="P40">
        <v>31.2</v>
      </c>
      <c r="Q40">
        <v>32.1</v>
      </c>
      <c r="R40">
        <v>18.399999999999999</v>
      </c>
      <c r="S40">
        <v>13.3</v>
      </c>
      <c r="T40">
        <v>5</v>
      </c>
      <c r="U40">
        <v>17.5</v>
      </c>
      <c r="V40">
        <v>32.6</v>
      </c>
      <c r="W40">
        <v>29.6</v>
      </c>
      <c r="X40">
        <v>20.3</v>
      </c>
      <c r="Y40">
        <v>42.9</v>
      </c>
      <c r="Z40">
        <v>57.1</v>
      </c>
      <c r="AA40">
        <v>75.2</v>
      </c>
      <c r="AB40">
        <v>27.9</v>
      </c>
      <c r="AC40">
        <v>23.3</v>
      </c>
      <c r="AD40">
        <v>4.4000000000000004</v>
      </c>
      <c r="AE40">
        <v>0.37</v>
      </c>
    </row>
    <row r="41" spans="1:31" x14ac:dyDescent="0.25">
      <c r="A41" t="s">
        <v>83</v>
      </c>
      <c r="B41" t="s">
        <v>51</v>
      </c>
      <c r="C41" t="s">
        <v>84</v>
      </c>
      <c r="D41">
        <v>2025</v>
      </c>
      <c r="E41">
        <v>1</v>
      </c>
      <c r="F41" s="1">
        <v>45658</v>
      </c>
      <c r="G41">
        <v>11036</v>
      </c>
      <c r="H41">
        <v>11036</v>
      </c>
      <c r="I41">
        <v>9523</v>
      </c>
      <c r="J41">
        <v>0.31</v>
      </c>
      <c r="K41">
        <v>45</v>
      </c>
      <c r="L41">
        <v>36.4</v>
      </c>
      <c r="M41">
        <v>35.799999999999997</v>
      </c>
      <c r="N41">
        <v>27.8</v>
      </c>
      <c r="O41">
        <v>20.100000000000001</v>
      </c>
      <c r="P41">
        <v>35.799999999999997</v>
      </c>
      <c r="Q41">
        <v>27.5</v>
      </c>
      <c r="R41">
        <v>21.9</v>
      </c>
      <c r="S41">
        <v>10.6</v>
      </c>
      <c r="T41">
        <v>4.0999999999999996</v>
      </c>
      <c r="U41">
        <v>18.600000000000001</v>
      </c>
      <c r="V41">
        <v>30.8</v>
      </c>
      <c r="W41">
        <v>30.8</v>
      </c>
      <c r="X41">
        <v>19.7</v>
      </c>
      <c r="Y41">
        <v>42.7</v>
      </c>
      <c r="Z41">
        <v>57.3</v>
      </c>
      <c r="AA41">
        <v>68.599999999999994</v>
      </c>
      <c r="AB41">
        <v>24.4</v>
      </c>
      <c r="AC41">
        <v>26.2</v>
      </c>
      <c r="AD41">
        <v>4.3</v>
      </c>
      <c r="AE41">
        <v>0.37</v>
      </c>
    </row>
    <row r="42" spans="1:31" x14ac:dyDescent="0.25">
      <c r="A42" t="s">
        <v>83</v>
      </c>
      <c r="B42" t="s">
        <v>51</v>
      </c>
      <c r="C42" t="s">
        <v>84</v>
      </c>
      <c r="D42">
        <v>2025</v>
      </c>
      <c r="E42">
        <v>2</v>
      </c>
      <c r="F42" s="1">
        <v>45689</v>
      </c>
      <c r="G42">
        <v>11957</v>
      </c>
      <c r="H42">
        <v>22993</v>
      </c>
      <c r="I42">
        <v>9924</v>
      </c>
      <c r="J42">
        <v>0.19</v>
      </c>
      <c r="K42">
        <v>46.7</v>
      </c>
      <c r="L42">
        <v>35</v>
      </c>
      <c r="M42">
        <v>38.6</v>
      </c>
      <c r="N42">
        <v>27.9</v>
      </c>
      <c r="O42">
        <v>20.8</v>
      </c>
      <c r="P42">
        <v>30.2</v>
      </c>
      <c r="Q42">
        <v>29.7</v>
      </c>
      <c r="R42">
        <v>24.5</v>
      </c>
      <c r="S42">
        <v>10.6</v>
      </c>
      <c r="T42">
        <v>5</v>
      </c>
      <c r="U42">
        <v>17</v>
      </c>
      <c r="V42">
        <v>30.2</v>
      </c>
      <c r="W42">
        <v>26.7</v>
      </c>
      <c r="X42">
        <v>26</v>
      </c>
      <c r="Y42">
        <v>45.9</v>
      </c>
      <c r="Z42">
        <v>54.1</v>
      </c>
      <c r="AA42">
        <v>68</v>
      </c>
      <c r="AB42">
        <v>35.299999999999997</v>
      </c>
      <c r="AC42">
        <v>27.7</v>
      </c>
      <c r="AD42">
        <v>4.4000000000000004</v>
      </c>
      <c r="AE42">
        <v>0.31</v>
      </c>
    </row>
    <row r="43" spans="1:31" x14ac:dyDescent="0.25">
      <c r="A43" t="s">
        <v>83</v>
      </c>
      <c r="B43" t="s">
        <v>51</v>
      </c>
      <c r="C43" t="s">
        <v>84</v>
      </c>
      <c r="D43">
        <v>2025</v>
      </c>
      <c r="E43">
        <v>3</v>
      </c>
      <c r="F43" s="1">
        <v>45717</v>
      </c>
      <c r="G43">
        <v>12514</v>
      </c>
      <c r="H43">
        <v>35507</v>
      </c>
      <c r="I43">
        <v>10492</v>
      </c>
      <c r="J43">
        <v>0.28000000000000003</v>
      </c>
      <c r="K43">
        <v>45.1</v>
      </c>
      <c r="L43">
        <v>37.299999999999997</v>
      </c>
      <c r="M43">
        <v>35.799999999999997</v>
      </c>
      <c r="N43">
        <v>27.7</v>
      </c>
      <c r="O43">
        <v>20.7</v>
      </c>
      <c r="P43">
        <v>35</v>
      </c>
      <c r="Q43">
        <v>29.4</v>
      </c>
      <c r="R43">
        <v>18.2</v>
      </c>
      <c r="S43">
        <v>13.7</v>
      </c>
      <c r="T43">
        <v>3.8</v>
      </c>
      <c r="U43">
        <v>18.100000000000001</v>
      </c>
      <c r="V43">
        <v>34.1</v>
      </c>
      <c r="W43">
        <v>27.1</v>
      </c>
      <c r="X43">
        <v>20.7</v>
      </c>
      <c r="Y43">
        <v>44</v>
      </c>
      <c r="Z43">
        <v>56</v>
      </c>
      <c r="AA43">
        <v>73.2</v>
      </c>
      <c r="AB43">
        <v>23.5</v>
      </c>
      <c r="AC43">
        <v>27.9</v>
      </c>
      <c r="AD43">
        <v>4.5999999999999996</v>
      </c>
      <c r="AE43">
        <v>0.38</v>
      </c>
    </row>
    <row r="44" spans="1:31" x14ac:dyDescent="0.25">
      <c r="A44" t="s">
        <v>83</v>
      </c>
      <c r="B44" t="s">
        <v>51</v>
      </c>
      <c r="C44" t="s">
        <v>84</v>
      </c>
      <c r="D44">
        <v>2025</v>
      </c>
      <c r="E44">
        <v>4</v>
      </c>
      <c r="F44" s="1">
        <v>45748</v>
      </c>
      <c r="G44">
        <v>13677</v>
      </c>
      <c r="H44">
        <v>49184</v>
      </c>
      <c r="I44">
        <v>11821</v>
      </c>
      <c r="J44">
        <v>0.3</v>
      </c>
      <c r="K44">
        <v>45.7</v>
      </c>
      <c r="L44">
        <v>36.4</v>
      </c>
      <c r="M44">
        <v>38.799999999999997</v>
      </c>
      <c r="N44">
        <v>28.3</v>
      </c>
      <c r="O44">
        <v>22.5</v>
      </c>
      <c r="P44">
        <v>34.5</v>
      </c>
      <c r="Q44">
        <v>29</v>
      </c>
      <c r="R44">
        <v>21.4</v>
      </c>
      <c r="S44">
        <v>10.199999999999999</v>
      </c>
      <c r="T44">
        <v>5</v>
      </c>
      <c r="U44">
        <v>16.2</v>
      </c>
      <c r="V44">
        <v>31.4</v>
      </c>
      <c r="W44">
        <v>26.4</v>
      </c>
      <c r="X44">
        <v>26</v>
      </c>
      <c r="Y44">
        <v>43.6</v>
      </c>
      <c r="Z44">
        <v>56.4</v>
      </c>
      <c r="AA44">
        <v>73</v>
      </c>
      <c r="AB44">
        <v>28.5</v>
      </c>
      <c r="AC44">
        <v>24.6</v>
      </c>
      <c r="AD44">
        <v>4</v>
      </c>
      <c r="AE44">
        <v>0.34</v>
      </c>
    </row>
    <row r="45" spans="1:31" x14ac:dyDescent="0.25">
      <c r="A45" t="s">
        <v>83</v>
      </c>
      <c r="B45" t="s">
        <v>51</v>
      </c>
      <c r="C45" t="s">
        <v>84</v>
      </c>
      <c r="D45">
        <v>2025</v>
      </c>
      <c r="E45">
        <v>5</v>
      </c>
      <c r="F45" s="1">
        <v>45778</v>
      </c>
      <c r="G45">
        <v>14023</v>
      </c>
      <c r="H45">
        <v>63207</v>
      </c>
      <c r="I45">
        <v>11987</v>
      </c>
      <c r="J45">
        <v>0.25</v>
      </c>
      <c r="K45">
        <v>46.3</v>
      </c>
      <c r="L45">
        <v>38.5</v>
      </c>
      <c r="M45">
        <v>38.6</v>
      </c>
      <c r="N45">
        <v>29.4</v>
      </c>
      <c r="O45">
        <v>19.8</v>
      </c>
      <c r="P45">
        <v>33.4</v>
      </c>
      <c r="Q45">
        <v>28.5</v>
      </c>
      <c r="R45">
        <v>22.8</v>
      </c>
      <c r="S45">
        <v>10.3</v>
      </c>
      <c r="T45">
        <v>5</v>
      </c>
      <c r="U45">
        <v>15.7</v>
      </c>
      <c r="V45">
        <v>31.8</v>
      </c>
      <c r="W45">
        <v>30</v>
      </c>
      <c r="X45">
        <v>22.4</v>
      </c>
      <c r="Y45">
        <v>43.2</v>
      </c>
      <c r="Z45">
        <v>56.8</v>
      </c>
      <c r="AA45">
        <v>72.900000000000006</v>
      </c>
      <c r="AB45">
        <v>32</v>
      </c>
      <c r="AC45">
        <v>23.3</v>
      </c>
      <c r="AD45">
        <v>3.8</v>
      </c>
      <c r="AE45">
        <v>0.35</v>
      </c>
    </row>
    <row r="46" spans="1:31" x14ac:dyDescent="0.25">
      <c r="A46" t="s">
        <v>83</v>
      </c>
      <c r="B46" t="s">
        <v>51</v>
      </c>
      <c r="C46" t="s">
        <v>84</v>
      </c>
      <c r="D46">
        <v>2025</v>
      </c>
      <c r="E46">
        <v>6</v>
      </c>
      <c r="F46" s="1">
        <v>45809</v>
      </c>
      <c r="G46">
        <v>15476</v>
      </c>
      <c r="H46">
        <v>78683</v>
      </c>
      <c r="I46">
        <v>12789</v>
      </c>
      <c r="J46">
        <v>0.26</v>
      </c>
      <c r="K46">
        <v>45.3</v>
      </c>
      <c r="L46">
        <v>37.200000000000003</v>
      </c>
      <c r="M46">
        <v>39.1</v>
      </c>
      <c r="N46">
        <v>28.1</v>
      </c>
      <c r="O46">
        <v>20.3</v>
      </c>
      <c r="P46">
        <v>31.3</v>
      </c>
      <c r="Q46">
        <v>31</v>
      </c>
      <c r="R46">
        <v>23.4</v>
      </c>
      <c r="S46">
        <v>10.8</v>
      </c>
      <c r="T46">
        <v>3.5</v>
      </c>
      <c r="U46">
        <v>15.4</v>
      </c>
      <c r="V46">
        <v>34.700000000000003</v>
      </c>
      <c r="W46">
        <v>27.4</v>
      </c>
      <c r="X46">
        <v>22.5</v>
      </c>
      <c r="Y46">
        <v>44.9</v>
      </c>
      <c r="Z46">
        <v>55.1</v>
      </c>
      <c r="AA46">
        <v>73.3</v>
      </c>
      <c r="AB46">
        <v>23.3</v>
      </c>
      <c r="AC46">
        <v>27.5</v>
      </c>
      <c r="AD46">
        <v>4.5999999999999996</v>
      </c>
      <c r="AE46">
        <v>0.32</v>
      </c>
    </row>
    <row r="47" spans="1:31" x14ac:dyDescent="0.25">
      <c r="A47" t="s">
        <v>83</v>
      </c>
      <c r="B47" t="s">
        <v>51</v>
      </c>
      <c r="C47" t="s">
        <v>84</v>
      </c>
      <c r="D47">
        <v>2025</v>
      </c>
      <c r="E47">
        <v>7</v>
      </c>
      <c r="F47" s="1">
        <v>45839</v>
      </c>
      <c r="G47">
        <v>14682</v>
      </c>
      <c r="H47">
        <v>93365</v>
      </c>
      <c r="I47">
        <v>12060</v>
      </c>
      <c r="J47">
        <v>0.27</v>
      </c>
      <c r="K47">
        <v>46.3</v>
      </c>
      <c r="L47">
        <v>38.799999999999997</v>
      </c>
      <c r="M47">
        <v>37.6</v>
      </c>
      <c r="N47">
        <v>28.6</v>
      </c>
      <c r="O47">
        <v>22.5</v>
      </c>
      <c r="P47">
        <v>31.1</v>
      </c>
      <c r="Q47">
        <v>28.2</v>
      </c>
      <c r="R47">
        <v>23.9</v>
      </c>
      <c r="S47">
        <v>11.9</v>
      </c>
      <c r="T47">
        <v>5</v>
      </c>
      <c r="U47">
        <v>15.6</v>
      </c>
      <c r="V47">
        <v>30.5</v>
      </c>
      <c r="W47">
        <v>26.4</v>
      </c>
      <c r="X47">
        <v>27.5</v>
      </c>
      <c r="Y47">
        <v>45.4</v>
      </c>
      <c r="Z47">
        <v>54.6</v>
      </c>
      <c r="AA47">
        <v>70.599999999999994</v>
      </c>
      <c r="AB47">
        <v>25.2</v>
      </c>
      <c r="AC47">
        <v>24.3</v>
      </c>
      <c r="AD47">
        <v>3.9</v>
      </c>
      <c r="AE47">
        <v>0.35</v>
      </c>
    </row>
    <row r="48" spans="1:31" x14ac:dyDescent="0.25">
      <c r="A48" t="s">
        <v>83</v>
      </c>
      <c r="B48" t="s">
        <v>51</v>
      </c>
      <c r="C48" t="s">
        <v>84</v>
      </c>
      <c r="D48">
        <v>2025</v>
      </c>
      <c r="E48">
        <v>8</v>
      </c>
      <c r="F48" s="1">
        <v>45870</v>
      </c>
      <c r="G48">
        <v>17417</v>
      </c>
      <c r="H48">
        <v>110782</v>
      </c>
      <c r="I48">
        <v>14962</v>
      </c>
      <c r="J48">
        <v>0.25</v>
      </c>
      <c r="K48">
        <v>45.5</v>
      </c>
      <c r="L48">
        <v>35.6</v>
      </c>
      <c r="M48">
        <v>40.1</v>
      </c>
      <c r="N48">
        <v>29.1</v>
      </c>
      <c r="O48">
        <v>23.1</v>
      </c>
      <c r="P48">
        <v>33.299999999999997</v>
      </c>
      <c r="Q48">
        <v>27.4</v>
      </c>
      <c r="R48">
        <v>21.5</v>
      </c>
      <c r="S48">
        <v>12.8</v>
      </c>
      <c r="T48">
        <v>5</v>
      </c>
      <c r="U48">
        <v>16.100000000000001</v>
      </c>
      <c r="V48">
        <v>34</v>
      </c>
      <c r="W48">
        <v>30</v>
      </c>
      <c r="X48">
        <v>19.899999999999999</v>
      </c>
      <c r="Y48">
        <v>45.6</v>
      </c>
      <c r="Z48">
        <v>54.4</v>
      </c>
      <c r="AA48">
        <v>71.2</v>
      </c>
      <c r="AB48">
        <v>24.1</v>
      </c>
      <c r="AC48">
        <v>31.9</v>
      </c>
      <c r="AD48">
        <v>4.3</v>
      </c>
      <c r="AE48">
        <v>0.31</v>
      </c>
    </row>
    <row r="49" spans="1:31" x14ac:dyDescent="0.25">
      <c r="A49" t="s">
        <v>83</v>
      </c>
      <c r="B49" t="s">
        <v>51</v>
      </c>
      <c r="C49" t="s">
        <v>84</v>
      </c>
      <c r="D49">
        <v>2025</v>
      </c>
      <c r="E49">
        <v>9</v>
      </c>
      <c r="F49" s="1">
        <v>45901</v>
      </c>
      <c r="G49">
        <v>17841</v>
      </c>
      <c r="H49">
        <v>128623</v>
      </c>
      <c r="I49">
        <v>14766</v>
      </c>
      <c r="J49">
        <v>0.3</v>
      </c>
      <c r="K49">
        <v>46.8</v>
      </c>
      <c r="L49">
        <v>36.9</v>
      </c>
      <c r="M49">
        <v>37.5</v>
      </c>
      <c r="N49">
        <v>27.9</v>
      </c>
      <c r="O49">
        <v>22.7</v>
      </c>
      <c r="P49">
        <v>33.9</v>
      </c>
      <c r="Q49">
        <v>27.9</v>
      </c>
      <c r="R49">
        <v>22.9</v>
      </c>
      <c r="S49">
        <v>13.3</v>
      </c>
      <c r="T49">
        <v>2</v>
      </c>
      <c r="U49">
        <v>15.3</v>
      </c>
      <c r="V49">
        <v>35.6</v>
      </c>
      <c r="W49">
        <v>26.6</v>
      </c>
      <c r="X49">
        <v>22.6</v>
      </c>
      <c r="Y49">
        <v>44.9</v>
      </c>
      <c r="Z49">
        <v>55.1</v>
      </c>
      <c r="AA49">
        <v>75</v>
      </c>
      <c r="AB49">
        <v>34.200000000000003</v>
      </c>
      <c r="AC49">
        <v>29.7</v>
      </c>
      <c r="AD49">
        <v>3.8</v>
      </c>
      <c r="AE49">
        <v>0.37</v>
      </c>
    </row>
    <row r="50" spans="1:31" x14ac:dyDescent="0.25">
      <c r="A50" t="s">
        <v>83</v>
      </c>
      <c r="B50" t="s">
        <v>51</v>
      </c>
      <c r="C50" t="s">
        <v>84</v>
      </c>
      <c r="D50">
        <v>2025</v>
      </c>
      <c r="E50">
        <v>10</v>
      </c>
      <c r="F50" s="1">
        <v>45931</v>
      </c>
      <c r="G50">
        <v>16718</v>
      </c>
      <c r="H50">
        <v>145341</v>
      </c>
      <c r="I50">
        <v>14687</v>
      </c>
      <c r="J50">
        <v>0.27</v>
      </c>
      <c r="K50">
        <v>47</v>
      </c>
      <c r="L50">
        <v>34.9</v>
      </c>
      <c r="M50">
        <v>40.1</v>
      </c>
      <c r="N50">
        <v>29</v>
      </c>
      <c r="O50">
        <v>24.1</v>
      </c>
      <c r="P50">
        <v>29.1</v>
      </c>
      <c r="Q50">
        <v>31.8</v>
      </c>
      <c r="R50">
        <v>21.3</v>
      </c>
      <c r="S50">
        <v>13.8</v>
      </c>
      <c r="T50">
        <v>4</v>
      </c>
      <c r="U50">
        <v>16.600000000000001</v>
      </c>
      <c r="V50">
        <v>31.9</v>
      </c>
      <c r="W50">
        <v>28.5</v>
      </c>
      <c r="X50">
        <v>23</v>
      </c>
      <c r="Y50">
        <v>42.6</v>
      </c>
      <c r="Z50">
        <v>57.4</v>
      </c>
      <c r="AA50">
        <v>73.099999999999994</v>
      </c>
      <c r="AB50">
        <v>25</v>
      </c>
      <c r="AC50">
        <v>27.4</v>
      </c>
      <c r="AD50">
        <v>4.2</v>
      </c>
      <c r="AE50">
        <v>0.31</v>
      </c>
    </row>
    <row r="51" spans="1:31" x14ac:dyDescent="0.25">
      <c r="A51" t="s">
        <v>83</v>
      </c>
      <c r="B51" t="s">
        <v>51</v>
      </c>
      <c r="C51" t="s">
        <v>84</v>
      </c>
      <c r="D51">
        <v>2025</v>
      </c>
      <c r="E51">
        <v>11</v>
      </c>
      <c r="F51" s="1">
        <v>45962</v>
      </c>
      <c r="G51">
        <v>19082</v>
      </c>
      <c r="H51">
        <v>164423</v>
      </c>
      <c r="I51">
        <v>15713</v>
      </c>
      <c r="J51">
        <v>0.28000000000000003</v>
      </c>
      <c r="K51">
        <v>47.5</v>
      </c>
      <c r="L51">
        <v>37.299999999999997</v>
      </c>
      <c r="M51">
        <v>37.1</v>
      </c>
      <c r="N51">
        <v>28.6</v>
      </c>
      <c r="O51">
        <v>22.5</v>
      </c>
      <c r="P51">
        <v>33</v>
      </c>
      <c r="Q51">
        <v>29.2</v>
      </c>
      <c r="R51">
        <v>19.399999999999999</v>
      </c>
      <c r="S51">
        <v>13.4</v>
      </c>
      <c r="T51">
        <v>5</v>
      </c>
      <c r="U51">
        <v>16.7</v>
      </c>
      <c r="V51">
        <v>31.2</v>
      </c>
      <c r="W51">
        <v>27.8</v>
      </c>
      <c r="X51">
        <v>24.3</v>
      </c>
      <c r="Y51">
        <v>42.5</v>
      </c>
      <c r="Z51">
        <v>57.5</v>
      </c>
      <c r="AA51">
        <v>73.900000000000006</v>
      </c>
      <c r="AB51">
        <v>32.799999999999997</v>
      </c>
      <c r="AC51">
        <v>20.100000000000001</v>
      </c>
      <c r="AD51">
        <v>4.5</v>
      </c>
      <c r="AE51">
        <v>0.31</v>
      </c>
    </row>
    <row r="52" spans="1:31" x14ac:dyDescent="0.25">
      <c r="A52" t="s">
        <v>83</v>
      </c>
      <c r="B52" t="s">
        <v>51</v>
      </c>
      <c r="C52" t="s">
        <v>84</v>
      </c>
      <c r="D52">
        <v>2025</v>
      </c>
      <c r="E52">
        <v>12</v>
      </c>
      <c r="F52" s="1">
        <v>45992</v>
      </c>
      <c r="G52">
        <v>18326</v>
      </c>
      <c r="H52">
        <v>182749</v>
      </c>
      <c r="I52">
        <v>15263</v>
      </c>
      <c r="J52">
        <v>0.18</v>
      </c>
      <c r="K52">
        <v>45.2</v>
      </c>
      <c r="L52">
        <v>37.700000000000003</v>
      </c>
      <c r="M52">
        <v>40.6</v>
      </c>
      <c r="N52">
        <v>29.7</v>
      </c>
      <c r="O52">
        <v>22.9</v>
      </c>
      <c r="P52">
        <v>33.1</v>
      </c>
      <c r="Q52">
        <v>29.2</v>
      </c>
      <c r="R52">
        <v>21.3</v>
      </c>
      <c r="S52">
        <v>11.3</v>
      </c>
      <c r="T52">
        <v>5</v>
      </c>
      <c r="U52">
        <v>18.7</v>
      </c>
      <c r="V52">
        <v>35.4</v>
      </c>
      <c r="W52">
        <v>30.8</v>
      </c>
      <c r="X52">
        <v>15.2</v>
      </c>
      <c r="Y52">
        <v>44.7</v>
      </c>
      <c r="Z52">
        <v>55.3</v>
      </c>
      <c r="AA52">
        <v>73.5</v>
      </c>
      <c r="AB52">
        <v>28.1</v>
      </c>
      <c r="AC52">
        <v>23.1</v>
      </c>
      <c r="AD52">
        <v>4.4000000000000004</v>
      </c>
      <c r="AE52">
        <v>0.37</v>
      </c>
    </row>
    <row r="53" spans="1:31" x14ac:dyDescent="0.25">
      <c r="A53" t="s">
        <v>83</v>
      </c>
      <c r="B53" t="s">
        <v>51</v>
      </c>
      <c r="C53" t="s">
        <v>84</v>
      </c>
      <c r="D53">
        <v>2026</v>
      </c>
      <c r="E53">
        <v>1</v>
      </c>
      <c r="F53" s="1">
        <v>46023</v>
      </c>
      <c r="G53">
        <v>19951</v>
      </c>
      <c r="H53">
        <v>202700</v>
      </c>
      <c r="I53">
        <v>17121</v>
      </c>
      <c r="J53">
        <v>0.27</v>
      </c>
      <c r="K53">
        <v>44.7</v>
      </c>
      <c r="L53">
        <v>37.799999999999997</v>
      </c>
      <c r="M53">
        <v>39.799999999999997</v>
      </c>
      <c r="N53">
        <v>30</v>
      </c>
      <c r="O53">
        <v>25.6</v>
      </c>
      <c r="P53">
        <v>32.200000000000003</v>
      </c>
      <c r="Q53">
        <v>28.8</v>
      </c>
      <c r="R53">
        <v>21.1</v>
      </c>
      <c r="S53">
        <v>12.9</v>
      </c>
      <c r="T53">
        <v>5</v>
      </c>
      <c r="U53">
        <v>18</v>
      </c>
      <c r="V53">
        <v>31.1</v>
      </c>
      <c r="W53">
        <v>26.9</v>
      </c>
      <c r="X53">
        <v>24.1</v>
      </c>
      <c r="Y53">
        <v>40.6</v>
      </c>
      <c r="Z53">
        <v>59.4</v>
      </c>
      <c r="AA53">
        <v>74.099999999999994</v>
      </c>
      <c r="AB53">
        <v>25.7</v>
      </c>
      <c r="AC53">
        <v>20.3</v>
      </c>
      <c r="AD53">
        <v>4.3</v>
      </c>
      <c r="AE53">
        <v>0.34</v>
      </c>
    </row>
    <row r="54" spans="1:31" x14ac:dyDescent="0.25">
      <c r="A54" t="s">
        <v>88</v>
      </c>
      <c r="B54" t="s">
        <v>51</v>
      </c>
      <c r="C54" t="s">
        <v>52</v>
      </c>
      <c r="D54">
        <v>2025</v>
      </c>
      <c r="E54">
        <v>1</v>
      </c>
      <c r="F54" s="1">
        <v>45658</v>
      </c>
      <c r="G54">
        <v>13785</v>
      </c>
      <c r="H54">
        <v>13785</v>
      </c>
      <c r="I54">
        <v>11404</v>
      </c>
      <c r="J54">
        <v>0.27</v>
      </c>
      <c r="K54">
        <v>46.8</v>
      </c>
      <c r="L54">
        <v>36.700000000000003</v>
      </c>
      <c r="M54">
        <v>34.9</v>
      </c>
      <c r="N54">
        <v>24</v>
      </c>
      <c r="O54">
        <v>19.399999999999999</v>
      </c>
      <c r="P54">
        <v>31.7</v>
      </c>
      <c r="Q54">
        <v>32.299999999999997</v>
      </c>
      <c r="R54">
        <v>20.100000000000001</v>
      </c>
      <c r="S54">
        <v>10.9</v>
      </c>
      <c r="T54">
        <v>5</v>
      </c>
      <c r="U54">
        <v>16.600000000000001</v>
      </c>
      <c r="V54">
        <v>32.6</v>
      </c>
      <c r="W54">
        <v>29.1</v>
      </c>
      <c r="X54">
        <v>21.7</v>
      </c>
      <c r="Y54">
        <v>45.7</v>
      </c>
      <c r="Z54">
        <v>54.3</v>
      </c>
      <c r="AA54">
        <v>69</v>
      </c>
      <c r="AB54">
        <v>24.8</v>
      </c>
      <c r="AC54">
        <v>30.6</v>
      </c>
      <c r="AD54">
        <v>4.5999999999999996</v>
      </c>
      <c r="AE54">
        <v>0.39</v>
      </c>
    </row>
    <row r="55" spans="1:31" x14ac:dyDescent="0.25">
      <c r="A55" t="s">
        <v>88</v>
      </c>
      <c r="B55" t="s">
        <v>51</v>
      </c>
      <c r="C55" t="s">
        <v>52</v>
      </c>
      <c r="D55">
        <v>2025</v>
      </c>
      <c r="E55">
        <v>2</v>
      </c>
      <c r="F55" s="1">
        <v>45689</v>
      </c>
      <c r="G55">
        <v>14962</v>
      </c>
      <c r="H55">
        <v>28747</v>
      </c>
      <c r="I55">
        <v>12946</v>
      </c>
      <c r="J55">
        <v>0.24</v>
      </c>
      <c r="K55">
        <v>47</v>
      </c>
      <c r="L55">
        <v>37.1</v>
      </c>
      <c r="M55">
        <v>37.5</v>
      </c>
      <c r="N55">
        <v>21.1</v>
      </c>
      <c r="O55">
        <v>18.8</v>
      </c>
      <c r="P55">
        <v>32</v>
      </c>
      <c r="Q55">
        <v>31</v>
      </c>
      <c r="R55">
        <v>22.4</v>
      </c>
      <c r="S55">
        <v>11.7</v>
      </c>
      <c r="T55">
        <v>2.8</v>
      </c>
      <c r="U55">
        <v>17.5</v>
      </c>
      <c r="V55">
        <v>33.1</v>
      </c>
      <c r="W55">
        <v>27.5</v>
      </c>
      <c r="X55">
        <v>21.9</v>
      </c>
      <c r="Y55">
        <v>43.4</v>
      </c>
      <c r="Z55">
        <v>56.6</v>
      </c>
      <c r="AA55">
        <v>75</v>
      </c>
      <c r="AB55">
        <v>30.9</v>
      </c>
      <c r="AC55">
        <v>29.1</v>
      </c>
      <c r="AD55">
        <v>4.5</v>
      </c>
      <c r="AE55">
        <v>0.4</v>
      </c>
    </row>
    <row r="56" spans="1:31" x14ac:dyDescent="0.25">
      <c r="A56" t="s">
        <v>88</v>
      </c>
      <c r="B56" t="s">
        <v>51</v>
      </c>
      <c r="C56" t="s">
        <v>52</v>
      </c>
      <c r="D56">
        <v>2025</v>
      </c>
      <c r="E56">
        <v>3</v>
      </c>
      <c r="F56" s="1">
        <v>45717</v>
      </c>
      <c r="G56">
        <v>15622</v>
      </c>
      <c r="H56">
        <v>44369</v>
      </c>
      <c r="I56">
        <v>13186</v>
      </c>
      <c r="J56">
        <v>0.28999999999999998</v>
      </c>
      <c r="K56">
        <v>45.1</v>
      </c>
      <c r="L56">
        <v>40</v>
      </c>
      <c r="M56">
        <v>37.5</v>
      </c>
      <c r="N56">
        <v>21.5</v>
      </c>
      <c r="O56">
        <v>18.399999999999999</v>
      </c>
      <c r="P56">
        <v>33.6</v>
      </c>
      <c r="Q56">
        <v>30</v>
      </c>
      <c r="R56">
        <v>20.9</v>
      </c>
      <c r="S56">
        <v>10.5</v>
      </c>
      <c r="T56">
        <v>5</v>
      </c>
      <c r="U56">
        <v>19.3</v>
      </c>
      <c r="V56">
        <v>36</v>
      </c>
      <c r="W56">
        <v>27.8</v>
      </c>
      <c r="X56">
        <v>16.899999999999999</v>
      </c>
      <c r="Y56">
        <v>42.7</v>
      </c>
      <c r="Z56">
        <v>57.3</v>
      </c>
      <c r="AA56">
        <v>75.099999999999994</v>
      </c>
      <c r="AB56">
        <v>30.3</v>
      </c>
      <c r="AC56">
        <v>24.7</v>
      </c>
      <c r="AD56">
        <v>4</v>
      </c>
      <c r="AE56">
        <v>0.38</v>
      </c>
    </row>
    <row r="57" spans="1:31" x14ac:dyDescent="0.25">
      <c r="A57" t="s">
        <v>88</v>
      </c>
      <c r="B57" t="s">
        <v>51</v>
      </c>
      <c r="C57" t="s">
        <v>52</v>
      </c>
      <c r="D57">
        <v>2025</v>
      </c>
      <c r="E57">
        <v>4</v>
      </c>
      <c r="F57" s="1">
        <v>45748</v>
      </c>
      <c r="G57">
        <v>15605</v>
      </c>
      <c r="H57">
        <v>59974</v>
      </c>
      <c r="I57">
        <v>13346</v>
      </c>
      <c r="J57">
        <v>0.25</v>
      </c>
      <c r="K57">
        <v>46.4</v>
      </c>
      <c r="L57">
        <v>37.5</v>
      </c>
      <c r="M57">
        <v>37.4</v>
      </c>
      <c r="N57">
        <v>23.2</v>
      </c>
      <c r="O57">
        <v>19.8</v>
      </c>
      <c r="P57">
        <v>33.9</v>
      </c>
      <c r="Q57">
        <v>30</v>
      </c>
      <c r="R57">
        <v>22.5</v>
      </c>
      <c r="S57">
        <v>11.6</v>
      </c>
      <c r="T57">
        <v>2</v>
      </c>
      <c r="U57">
        <v>16.600000000000001</v>
      </c>
      <c r="V57">
        <v>30.9</v>
      </c>
      <c r="W57">
        <v>27.6</v>
      </c>
      <c r="X57">
        <v>24.8</v>
      </c>
      <c r="Y57">
        <v>42.6</v>
      </c>
      <c r="Z57">
        <v>57.4</v>
      </c>
      <c r="AA57">
        <v>69.8</v>
      </c>
      <c r="AB57">
        <v>30.4</v>
      </c>
      <c r="AC57">
        <v>28.8</v>
      </c>
      <c r="AD57">
        <v>4.4000000000000004</v>
      </c>
      <c r="AE57">
        <v>0.38</v>
      </c>
    </row>
    <row r="58" spans="1:31" x14ac:dyDescent="0.25">
      <c r="A58" t="s">
        <v>88</v>
      </c>
      <c r="B58" t="s">
        <v>51</v>
      </c>
      <c r="C58" t="s">
        <v>52</v>
      </c>
      <c r="D58">
        <v>2025</v>
      </c>
      <c r="E58">
        <v>5</v>
      </c>
      <c r="F58" s="1">
        <v>45778</v>
      </c>
      <c r="G58">
        <v>16509</v>
      </c>
      <c r="H58">
        <v>76483</v>
      </c>
      <c r="I58">
        <v>13943</v>
      </c>
      <c r="J58">
        <v>0.3</v>
      </c>
      <c r="K58">
        <v>45.7</v>
      </c>
      <c r="L58">
        <v>37.200000000000003</v>
      </c>
      <c r="M58">
        <v>36</v>
      </c>
      <c r="N58">
        <v>22.7</v>
      </c>
      <c r="O58">
        <v>19.100000000000001</v>
      </c>
      <c r="P58">
        <v>31.4</v>
      </c>
      <c r="Q58">
        <v>31.2</v>
      </c>
      <c r="R58">
        <v>23.1</v>
      </c>
      <c r="S58">
        <v>9.9</v>
      </c>
      <c r="T58">
        <v>4.3</v>
      </c>
      <c r="U58">
        <v>18.8</v>
      </c>
      <c r="V58">
        <v>32.700000000000003</v>
      </c>
      <c r="W58">
        <v>28.4</v>
      </c>
      <c r="X58">
        <v>20</v>
      </c>
      <c r="Y58">
        <v>40.799999999999997</v>
      </c>
      <c r="Z58">
        <v>59.2</v>
      </c>
      <c r="AA58">
        <v>73.8</v>
      </c>
      <c r="AB58">
        <v>29</v>
      </c>
      <c r="AC58">
        <v>25.2</v>
      </c>
      <c r="AD58">
        <v>3.8</v>
      </c>
      <c r="AE58">
        <v>0.38</v>
      </c>
    </row>
    <row r="59" spans="1:31" x14ac:dyDescent="0.25">
      <c r="A59" t="s">
        <v>88</v>
      </c>
      <c r="B59" t="s">
        <v>51</v>
      </c>
      <c r="C59" t="s">
        <v>52</v>
      </c>
      <c r="D59">
        <v>2025</v>
      </c>
      <c r="E59">
        <v>6</v>
      </c>
      <c r="F59" s="1">
        <v>45809</v>
      </c>
      <c r="G59">
        <v>18937</v>
      </c>
      <c r="H59">
        <v>95420</v>
      </c>
      <c r="I59">
        <v>16615</v>
      </c>
      <c r="J59">
        <v>0.19</v>
      </c>
      <c r="K59">
        <v>44.7</v>
      </c>
      <c r="L59">
        <v>36.5</v>
      </c>
      <c r="M59">
        <v>36.4</v>
      </c>
      <c r="N59">
        <v>25.2</v>
      </c>
      <c r="O59">
        <v>19.2</v>
      </c>
      <c r="P59">
        <v>35.5</v>
      </c>
      <c r="Q59">
        <v>27</v>
      </c>
      <c r="R59">
        <v>21.4</v>
      </c>
      <c r="S59">
        <v>11.1</v>
      </c>
      <c r="T59">
        <v>5</v>
      </c>
      <c r="U59">
        <v>16.100000000000001</v>
      </c>
      <c r="V59">
        <v>35.4</v>
      </c>
      <c r="W59">
        <v>26.1</v>
      </c>
      <c r="X59">
        <v>22.4</v>
      </c>
      <c r="Y59">
        <v>44</v>
      </c>
      <c r="Z59">
        <v>56</v>
      </c>
      <c r="AA59">
        <v>72.5</v>
      </c>
      <c r="AB59">
        <v>35.1</v>
      </c>
      <c r="AC59">
        <v>20.6</v>
      </c>
      <c r="AD59">
        <v>3.9</v>
      </c>
      <c r="AE59">
        <v>0.37</v>
      </c>
    </row>
    <row r="60" spans="1:31" x14ac:dyDescent="0.25">
      <c r="A60" t="s">
        <v>88</v>
      </c>
      <c r="B60" t="s">
        <v>51</v>
      </c>
      <c r="C60" t="s">
        <v>52</v>
      </c>
      <c r="D60">
        <v>2025</v>
      </c>
      <c r="E60">
        <v>7</v>
      </c>
      <c r="F60" s="1">
        <v>45839</v>
      </c>
      <c r="G60">
        <v>18428</v>
      </c>
      <c r="H60">
        <v>113848</v>
      </c>
      <c r="I60">
        <v>15736</v>
      </c>
      <c r="J60">
        <v>0.24</v>
      </c>
      <c r="K60">
        <v>47.4</v>
      </c>
      <c r="L60">
        <v>36.5</v>
      </c>
      <c r="M60">
        <v>36.1</v>
      </c>
      <c r="N60">
        <v>22.5</v>
      </c>
      <c r="O60">
        <v>19.5</v>
      </c>
      <c r="P60">
        <v>34.6</v>
      </c>
      <c r="Q60">
        <v>29.9</v>
      </c>
      <c r="R60">
        <v>19.2</v>
      </c>
      <c r="S60">
        <v>11.3</v>
      </c>
      <c r="T60">
        <v>5</v>
      </c>
      <c r="U60">
        <v>16.899999999999999</v>
      </c>
      <c r="V60">
        <v>31</v>
      </c>
      <c r="W60">
        <v>30.7</v>
      </c>
      <c r="X60">
        <v>21.4</v>
      </c>
      <c r="Y60">
        <v>45.1</v>
      </c>
      <c r="Z60">
        <v>54.9</v>
      </c>
      <c r="AA60">
        <v>71.7</v>
      </c>
      <c r="AB60">
        <v>27.8</v>
      </c>
      <c r="AC60">
        <v>27.8</v>
      </c>
      <c r="AD60">
        <v>4.2</v>
      </c>
      <c r="AE60">
        <v>0.31</v>
      </c>
    </row>
    <row r="61" spans="1:31" x14ac:dyDescent="0.25">
      <c r="A61" t="s">
        <v>88</v>
      </c>
      <c r="B61" t="s">
        <v>51</v>
      </c>
      <c r="C61" t="s">
        <v>52</v>
      </c>
      <c r="D61">
        <v>2025</v>
      </c>
      <c r="E61">
        <v>8</v>
      </c>
      <c r="F61" s="1">
        <v>45870</v>
      </c>
      <c r="G61">
        <v>21181</v>
      </c>
      <c r="H61">
        <v>135029</v>
      </c>
      <c r="I61">
        <v>17624</v>
      </c>
      <c r="J61">
        <v>0.22</v>
      </c>
      <c r="K61">
        <v>45</v>
      </c>
      <c r="L61">
        <v>36.5</v>
      </c>
      <c r="M61">
        <v>37.799999999999997</v>
      </c>
      <c r="N61">
        <v>23</v>
      </c>
      <c r="O61">
        <v>22.5</v>
      </c>
      <c r="P61">
        <v>31.7</v>
      </c>
      <c r="Q61">
        <v>31.5</v>
      </c>
      <c r="R61">
        <v>21.2</v>
      </c>
      <c r="S61">
        <v>11.5</v>
      </c>
      <c r="T61">
        <v>4.0999999999999996</v>
      </c>
      <c r="U61">
        <v>14.6</v>
      </c>
      <c r="V61">
        <v>33.9</v>
      </c>
      <c r="W61">
        <v>30.1</v>
      </c>
      <c r="X61">
        <v>21.3</v>
      </c>
      <c r="Y61">
        <v>42.3</v>
      </c>
      <c r="Z61">
        <v>57.7</v>
      </c>
      <c r="AA61">
        <v>75.7</v>
      </c>
      <c r="AB61">
        <v>24.9</v>
      </c>
      <c r="AC61">
        <v>26.3</v>
      </c>
      <c r="AD61">
        <v>4.5999999999999996</v>
      </c>
      <c r="AE61">
        <v>0.34</v>
      </c>
    </row>
    <row r="62" spans="1:31" x14ac:dyDescent="0.25">
      <c r="A62" t="s">
        <v>88</v>
      </c>
      <c r="B62" t="s">
        <v>51</v>
      </c>
      <c r="C62" t="s">
        <v>52</v>
      </c>
      <c r="D62">
        <v>2025</v>
      </c>
      <c r="E62">
        <v>9</v>
      </c>
      <c r="F62" s="1">
        <v>45901</v>
      </c>
      <c r="G62">
        <v>22548</v>
      </c>
      <c r="H62">
        <v>157577</v>
      </c>
      <c r="I62">
        <v>19210</v>
      </c>
      <c r="J62">
        <v>0.2</v>
      </c>
      <c r="K62">
        <v>46.6</v>
      </c>
      <c r="L62">
        <v>38</v>
      </c>
      <c r="M62">
        <v>39.299999999999997</v>
      </c>
      <c r="N62">
        <v>26.1</v>
      </c>
      <c r="O62">
        <v>20.5</v>
      </c>
      <c r="P62">
        <v>32.9</v>
      </c>
      <c r="Q62">
        <v>26.5</v>
      </c>
      <c r="R62">
        <v>23.3</v>
      </c>
      <c r="S62">
        <v>13</v>
      </c>
      <c r="T62">
        <v>4.3</v>
      </c>
      <c r="U62">
        <v>17</v>
      </c>
      <c r="V62">
        <v>35.799999999999997</v>
      </c>
      <c r="W62">
        <v>28.1</v>
      </c>
      <c r="X62">
        <v>19.100000000000001</v>
      </c>
      <c r="Y62">
        <v>45.9</v>
      </c>
      <c r="Z62">
        <v>54.1</v>
      </c>
      <c r="AA62">
        <v>73.099999999999994</v>
      </c>
      <c r="AB62">
        <v>24.3</v>
      </c>
      <c r="AC62">
        <v>30.6</v>
      </c>
      <c r="AD62">
        <v>4.2</v>
      </c>
      <c r="AE62">
        <v>0.37</v>
      </c>
    </row>
    <row r="63" spans="1:31" x14ac:dyDescent="0.25">
      <c r="A63" t="s">
        <v>88</v>
      </c>
      <c r="B63" t="s">
        <v>51</v>
      </c>
      <c r="C63" t="s">
        <v>52</v>
      </c>
      <c r="D63">
        <v>2025</v>
      </c>
      <c r="E63">
        <v>10</v>
      </c>
      <c r="F63" s="1">
        <v>45931</v>
      </c>
      <c r="G63">
        <v>22464</v>
      </c>
      <c r="H63">
        <v>180041</v>
      </c>
      <c r="I63">
        <v>18527</v>
      </c>
      <c r="J63">
        <v>0.28000000000000003</v>
      </c>
      <c r="K63">
        <v>45.1</v>
      </c>
      <c r="L63">
        <v>36.9</v>
      </c>
      <c r="M63">
        <v>38.200000000000003</v>
      </c>
      <c r="N63">
        <v>25.6</v>
      </c>
      <c r="O63">
        <v>21.1</v>
      </c>
      <c r="P63">
        <v>34.299999999999997</v>
      </c>
      <c r="Q63">
        <v>31.4</v>
      </c>
      <c r="R63">
        <v>19.100000000000001</v>
      </c>
      <c r="S63">
        <v>10.199999999999999</v>
      </c>
      <c r="T63">
        <v>5</v>
      </c>
      <c r="U63">
        <v>14.9</v>
      </c>
      <c r="V63">
        <v>32.1</v>
      </c>
      <c r="W63">
        <v>28.3</v>
      </c>
      <c r="X63">
        <v>24.8</v>
      </c>
      <c r="Y63">
        <v>44.5</v>
      </c>
      <c r="Z63">
        <v>55.5</v>
      </c>
      <c r="AA63">
        <v>73</v>
      </c>
      <c r="AB63">
        <v>26.9</v>
      </c>
      <c r="AC63">
        <v>30.1</v>
      </c>
      <c r="AD63">
        <v>4.4000000000000004</v>
      </c>
      <c r="AE63">
        <v>0.33</v>
      </c>
    </row>
    <row r="64" spans="1:31" x14ac:dyDescent="0.25">
      <c r="A64" t="s">
        <v>88</v>
      </c>
      <c r="B64" t="s">
        <v>51</v>
      </c>
      <c r="C64" t="s">
        <v>52</v>
      </c>
      <c r="D64">
        <v>2025</v>
      </c>
      <c r="E64">
        <v>11</v>
      </c>
      <c r="F64" s="1">
        <v>45962</v>
      </c>
      <c r="G64">
        <v>22462</v>
      </c>
      <c r="H64">
        <v>202503</v>
      </c>
      <c r="I64">
        <v>18512</v>
      </c>
      <c r="J64">
        <v>0.2</v>
      </c>
      <c r="K64">
        <v>47.1</v>
      </c>
      <c r="L64">
        <v>39.700000000000003</v>
      </c>
      <c r="M64">
        <v>37.299999999999997</v>
      </c>
      <c r="N64">
        <v>25.7</v>
      </c>
      <c r="O64">
        <v>23</v>
      </c>
      <c r="P64">
        <v>34.1</v>
      </c>
      <c r="Q64">
        <v>30.7</v>
      </c>
      <c r="R64">
        <v>22</v>
      </c>
      <c r="S64">
        <v>10.3</v>
      </c>
      <c r="T64">
        <v>2.8</v>
      </c>
      <c r="U64">
        <v>19.399999999999999</v>
      </c>
      <c r="V64">
        <v>34</v>
      </c>
      <c r="W64">
        <v>28.8</v>
      </c>
      <c r="X64">
        <v>17.7</v>
      </c>
      <c r="Y64">
        <v>40.700000000000003</v>
      </c>
      <c r="Z64">
        <v>59.3</v>
      </c>
      <c r="AA64">
        <v>71.7</v>
      </c>
      <c r="AB64">
        <v>34.1</v>
      </c>
      <c r="AC64">
        <v>26.6</v>
      </c>
      <c r="AD64">
        <v>3.7</v>
      </c>
      <c r="AE64">
        <v>0.37</v>
      </c>
    </row>
    <row r="65" spans="1:31" x14ac:dyDescent="0.25">
      <c r="A65" t="s">
        <v>88</v>
      </c>
      <c r="B65" t="s">
        <v>51</v>
      </c>
      <c r="C65" t="s">
        <v>52</v>
      </c>
      <c r="D65">
        <v>2025</v>
      </c>
      <c r="E65">
        <v>12</v>
      </c>
      <c r="F65" s="1">
        <v>45992</v>
      </c>
      <c r="G65">
        <v>23983</v>
      </c>
      <c r="H65">
        <v>226486</v>
      </c>
      <c r="I65">
        <v>20069</v>
      </c>
      <c r="J65">
        <v>0.3</v>
      </c>
      <c r="K65">
        <v>45.4</v>
      </c>
      <c r="L65">
        <v>38.4</v>
      </c>
      <c r="M65">
        <v>39.6</v>
      </c>
      <c r="N65">
        <v>23.5</v>
      </c>
      <c r="O65">
        <v>24.5</v>
      </c>
      <c r="P65">
        <v>32.5</v>
      </c>
      <c r="Q65">
        <v>30.3</v>
      </c>
      <c r="R65">
        <v>20.9</v>
      </c>
      <c r="S65">
        <v>11.3</v>
      </c>
      <c r="T65">
        <v>5</v>
      </c>
      <c r="U65">
        <v>15.8</v>
      </c>
      <c r="V65">
        <v>33.6</v>
      </c>
      <c r="W65">
        <v>27.5</v>
      </c>
      <c r="X65">
        <v>23.1</v>
      </c>
      <c r="Y65">
        <v>41.8</v>
      </c>
      <c r="Z65">
        <v>58.2</v>
      </c>
      <c r="AA65">
        <v>68.400000000000006</v>
      </c>
      <c r="AB65">
        <v>34.6</v>
      </c>
      <c r="AC65">
        <v>30.2</v>
      </c>
      <c r="AD65">
        <v>3.7</v>
      </c>
      <c r="AE65">
        <v>0.32</v>
      </c>
    </row>
    <row r="66" spans="1:31" x14ac:dyDescent="0.25">
      <c r="A66" t="s">
        <v>88</v>
      </c>
      <c r="B66" t="s">
        <v>51</v>
      </c>
      <c r="C66" t="s">
        <v>52</v>
      </c>
      <c r="D66">
        <v>2026</v>
      </c>
      <c r="E66">
        <v>1</v>
      </c>
      <c r="F66" s="1">
        <v>46023</v>
      </c>
      <c r="G66">
        <v>24238</v>
      </c>
      <c r="H66">
        <v>250724</v>
      </c>
      <c r="I66">
        <v>19925</v>
      </c>
      <c r="J66">
        <v>0.26</v>
      </c>
      <c r="K66">
        <v>47.5</v>
      </c>
      <c r="L66">
        <v>38.299999999999997</v>
      </c>
      <c r="M66">
        <v>36.799999999999997</v>
      </c>
      <c r="N66">
        <v>27</v>
      </c>
      <c r="O66">
        <v>23.4</v>
      </c>
      <c r="P66">
        <v>32.299999999999997</v>
      </c>
      <c r="Q66">
        <v>28.6</v>
      </c>
      <c r="R66">
        <v>21.3</v>
      </c>
      <c r="S66">
        <v>12.9</v>
      </c>
      <c r="T66">
        <v>5</v>
      </c>
      <c r="U66">
        <v>17.600000000000001</v>
      </c>
      <c r="V66">
        <v>35.4</v>
      </c>
      <c r="W66">
        <v>28.2</v>
      </c>
      <c r="X66">
        <v>18.8</v>
      </c>
      <c r="Y66">
        <v>43.6</v>
      </c>
      <c r="Z66">
        <v>56.4</v>
      </c>
      <c r="AA66">
        <v>72.7</v>
      </c>
      <c r="AB66">
        <v>31.8</v>
      </c>
      <c r="AC66">
        <v>22.8</v>
      </c>
      <c r="AD66">
        <v>4.4000000000000004</v>
      </c>
      <c r="AE66">
        <v>0.4</v>
      </c>
    </row>
    <row r="67" spans="1:31" x14ac:dyDescent="0.25">
      <c r="A67" t="s">
        <v>92</v>
      </c>
      <c r="B67" t="s">
        <v>51</v>
      </c>
      <c r="C67" t="s">
        <v>93</v>
      </c>
      <c r="D67">
        <v>2025</v>
      </c>
      <c r="E67">
        <v>1</v>
      </c>
      <c r="F67" s="1">
        <v>45658</v>
      </c>
      <c r="G67">
        <v>14627</v>
      </c>
      <c r="H67">
        <v>14627</v>
      </c>
      <c r="I67">
        <v>12646</v>
      </c>
      <c r="J67">
        <v>0.25</v>
      </c>
      <c r="K67">
        <v>46.4</v>
      </c>
      <c r="L67">
        <v>33.9</v>
      </c>
      <c r="M67">
        <v>38.799999999999997</v>
      </c>
      <c r="N67">
        <v>27.7</v>
      </c>
      <c r="O67">
        <v>20.3</v>
      </c>
      <c r="P67">
        <v>33.299999999999997</v>
      </c>
      <c r="Q67">
        <v>31.9</v>
      </c>
      <c r="R67">
        <v>20.8</v>
      </c>
      <c r="S67">
        <v>9</v>
      </c>
      <c r="T67">
        <v>5</v>
      </c>
      <c r="U67">
        <v>15.3</v>
      </c>
      <c r="V67">
        <v>30.2</v>
      </c>
      <c r="W67">
        <v>26.5</v>
      </c>
      <c r="X67">
        <v>27.9</v>
      </c>
      <c r="Y67">
        <v>42</v>
      </c>
      <c r="Z67">
        <v>58</v>
      </c>
      <c r="AA67">
        <v>72.599999999999994</v>
      </c>
      <c r="AB67">
        <v>29.2</v>
      </c>
      <c r="AC67">
        <v>23.5</v>
      </c>
      <c r="AD67">
        <v>3.7</v>
      </c>
      <c r="AE67">
        <v>0.33</v>
      </c>
    </row>
    <row r="68" spans="1:31" x14ac:dyDescent="0.25">
      <c r="A68" t="s">
        <v>92</v>
      </c>
      <c r="B68" t="s">
        <v>51</v>
      </c>
      <c r="C68" t="s">
        <v>93</v>
      </c>
      <c r="D68">
        <v>2025</v>
      </c>
      <c r="E68">
        <v>2</v>
      </c>
      <c r="F68" s="1">
        <v>45689</v>
      </c>
      <c r="G68">
        <v>15521</v>
      </c>
      <c r="H68">
        <v>30148</v>
      </c>
      <c r="I68">
        <v>13541</v>
      </c>
      <c r="J68">
        <v>0.25</v>
      </c>
      <c r="K68">
        <v>46.6</v>
      </c>
      <c r="L68">
        <v>36.1</v>
      </c>
      <c r="M68">
        <v>38.6</v>
      </c>
      <c r="N68">
        <v>27.7</v>
      </c>
      <c r="O68">
        <v>22.2</v>
      </c>
      <c r="P68">
        <v>31.4</v>
      </c>
      <c r="Q68">
        <v>32.4</v>
      </c>
      <c r="R68">
        <v>20.9</v>
      </c>
      <c r="S68">
        <v>10.3</v>
      </c>
      <c r="T68">
        <v>5</v>
      </c>
      <c r="U68">
        <v>14.4</v>
      </c>
      <c r="V68">
        <v>33.6</v>
      </c>
      <c r="W68">
        <v>29.4</v>
      </c>
      <c r="X68">
        <v>22.6</v>
      </c>
      <c r="Y68">
        <v>40.700000000000003</v>
      </c>
      <c r="Z68">
        <v>59.3</v>
      </c>
      <c r="AA68">
        <v>71.599999999999994</v>
      </c>
      <c r="AB68">
        <v>27.2</v>
      </c>
      <c r="AC68">
        <v>21.5</v>
      </c>
      <c r="AD68">
        <v>4</v>
      </c>
      <c r="AE68">
        <v>0.39</v>
      </c>
    </row>
    <row r="69" spans="1:31" x14ac:dyDescent="0.25">
      <c r="A69" t="s">
        <v>92</v>
      </c>
      <c r="B69" t="s">
        <v>51</v>
      </c>
      <c r="C69" t="s">
        <v>93</v>
      </c>
      <c r="D69">
        <v>2025</v>
      </c>
      <c r="E69">
        <v>3</v>
      </c>
      <c r="F69" s="1">
        <v>45717</v>
      </c>
      <c r="G69">
        <v>17058</v>
      </c>
      <c r="H69">
        <v>47206</v>
      </c>
      <c r="I69">
        <v>14682</v>
      </c>
      <c r="J69">
        <v>0.23</v>
      </c>
      <c r="K69">
        <v>46.3</v>
      </c>
      <c r="L69">
        <v>34.5</v>
      </c>
      <c r="M69">
        <v>41.4</v>
      </c>
      <c r="N69">
        <v>28.9</v>
      </c>
      <c r="O69">
        <v>24.4</v>
      </c>
      <c r="P69">
        <v>32.4</v>
      </c>
      <c r="Q69">
        <v>30.4</v>
      </c>
      <c r="R69">
        <v>23</v>
      </c>
      <c r="S69">
        <v>9.1999999999999993</v>
      </c>
      <c r="T69">
        <v>5</v>
      </c>
      <c r="U69">
        <v>14.7</v>
      </c>
      <c r="V69">
        <v>33.4</v>
      </c>
      <c r="W69">
        <v>27.7</v>
      </c>
      <c r="X69">
        <v>24.2</v>
      </c>
      <c r="Y69">
        <v>44.4</v>
      </c>
      <c r="Z69">
        <v>55.6</v>
      </c>
      <c r="AA69">
        <v>74.8</v>
      </c>
      <c r="AB69">
        <v>31.7</v>
      </c>
      <c r="AC69">
        <v>25.2</v>
      </c>
      <c r="AD69">
        <v>4.0999999999999996</v>
      </c>
      <c r="AE69">
        <v>0.38</v>
      </c>
    </row>
    <row r="70" spans="1:31" x14ac:dyDescent="0.25">
      <c r="A70" t="s">
        <v>92</v>
      </c>
      <c r="B70" t="s">
        <v>51</v>
      </c>
      <c r="C70" t="s">
        <v>93</v>
      </c>
      <c r="D70">
        <v>2025</v>
      </c>
      <c r="E70">
        <v>4</v>
      </c>
      <c r="F70" s="1">
        <v>45748</v>
      </c>
      <c r="G70">
        <v>17467</v>
      </c>
      <c r="H70">
        <v>64673</v>
      </c>
      <c r="I70">
        <v>15221</v>
      </c>
      <c r="J70">
        <v>0.31</v>
      </c>
      <c r="K70">
        <v>45.8</v>
      </c>
      <c r="L70">
        <v>33.4</v>
      </c>
      <c r="M70">
        <v>39.299999999999997</v>
      </c>
      <c r="N70">
        <v>29.1</v>
      </c>
      <c r="O70">
        <v>24.1</v>
      </c>
      <c r="P70">
        <v>30</v>
      </c>
      <c r="Q70">
        <v>31.2</v>
      </c>
      <c r="R70">
        <v>23.1</v>
      </c>
      <c r="S70">
        <v>10.7</v>
      </c>
      <c r="T70">
        <v>5</v>
      </c>
      <c r="U70">
        <v>14.4</v>
      </c>
      <c r="V70">
        <v>32.5</v>
      </c>
      <c r="W70">
        <v>27.6</v>
      </c>
      <c r="X70">
        <v>25.6</v>
      </c>
      <c r="Y70">
        <v>44.1</v>
      </c>
      <c r="Z70">
        <v>55.9</v>
      </c>
      <c r="AA70">
        <v>70.900000000000006</v>
      </c>
      <c r="AB70">
        <v>25.1</v>
      </c>
      <c r="AC70">
        <v>31.9</v>
      </c>
      <c r="AD70">
        <v>3.6</v>
      </c>
      <c r="AE70">
        <v>0.35</v>
      </c>
    </row>
    <row r="71" spans="1:31" x14ac:dyDescent="0.25">
      <c r="A71" t="s">
        <v>92</v>
      </c>
      <c r="B71" t="s">
        <v>51</v>
      </c>
      <c r="C71" t="s">
        <v>93</v>
      </c>
      <c r="D71">
        <v>2025</v>
      </c>
      <c r="E71">
        <v>5</v>
      </c>
      <c r="F71" s="1">
        <v>45778</v>
      </c>
      <c r="G71">
        <v>18795</v>
      </c>
      <c r="H71">
        <v>83468</v>
      </c>
      <c r="I71">
        <v>15845</v>
      </c>
      <c r="J71">
        <v>0.19</v>
      </c>
      <c r="K71">
        <v>44.6</v>
      </c>
      <c r="L71">
        <v>36.1</v>
      </c>
      <c r="M71">
        <v>38.1</v>
      </c>
      <c r="N71">
        <v>30</v>
      </c>
      <c r="O71">
        <v>23.5</v>
      </c>
      <c r="P71">
        <v>35.700000000000003</v>
      </c>
      <c r="Q71">
        <v>27.6</v>
      </c>
      <c r="R71">
        <v>23.7</v>
      </c>
      <c r="S71">
        <v>10.9</v>
      </c>
      <c r="T71">
        <v>2</v>
      </c>
      <c r="U71">
        <v>16.3</v>
      </c>
      <c r="V71">
        <v>32</v>
      </c>
      <c r="W71">
        <v>28.7</v>
      </c>
      <c r="X71">
        <v>22.9</v>
      </c>
      <c r="Y71">
        <v>40.9</v>
      </c>
      <c r="Z71">
        <v>59.1</v>
      </c>
      <c r="AA71">
        <v>72.3</v>
      </c>
      <c r="AB71">
        <v>32.700000000000003</v>
      </c>
      <c r="AC71">
        <v>30</v>
      </c>
      <c r="AD71">
        <v>3.7</v>
      </c>
      <c r="AE71">
        <v>0.33</v>
      </c>
    </row>
    <row r="72" spans="1:31" x14ac:dyDescent="0.25">
      <c r="A72" t="s">
        <v>92</v>
      </c>
      <c r="B72" t="s">
        <v>51</v>
      </c>
      <c r="C72" t="s">
        <v>93</v>
      </c>
      <c r="D72">
        <v>2025</v>
      </c>
      <c r="E72">
        <v>6</v>
      </c>
      <c r="F72" s="1">
        <v>45809</v>
      </c>
      <c r="G72">
        <v>17706</v>
      </c>
      <c r="H72">
        <v>101174</v>
      </c>
      <c r="I72">
        <v>15545</v>
      </c>
      <c r="J72">
        <v>0.26</v>
      </c>
      <c r="K72">
        <v>45.5</v>
      </c>
      <c r="L72">
        <v>34.4</v>
      </c>
      <c r="M72">
        <v>39.9</v>
      </c>
      <c r="N72">
        <v>29.8</v>
      </c>
      <c r="O72">
        <v>24.1</v>
      </c>
      <c r="P72">
        <v>30.9</v>
      </c>
      <c r="Q72">
        <v>30.8</v>
      </c>
      <c r="R72">
        <v>23.2</v>
      </c>
      <c r="S72">
        <v>10.1</v>
      </c>
      <c r="T72">
        <v>5</v>
      </c>
      <c r="U72">
        <v>19.8</v>
      </c>
      <c r="V72">
        <v>35.5</v>
      </c>
      <c r="W72">
        <v>29.6</v>
      </c>
      <c r="X72">
        <v>15.1</v>
      </c>
      <c r="Y72">
        <v>43.2</v>
      </c>
      <c r="Z72">
        <v>56.8</v>
      </c>
      <c r="AA72">
        <v>69</v>
      </c>
      <c r="AB72">
        <v>33.1</v>
      </c>
      <c r="AC72">
        <v>21.5</v>
      </c>
      <c r="AD72">
        <v>3.8</v>
      </c>
      <c r="AE72">
        <v>0.35</v>
      </c>
    </row>
    <row r="73" spans="1:31" x14ac:dyDescent="0.25">
      <c r="A73" t="s">
        <v>92</v>
      </c>
      <c r="B73" t="s">
        <v>51</v>
      </c>
      <c r="C73" t="s">
        <v>93</v>
      </c>
      <c r="D73">
        <v>2025</v>
      </c>
      <c r="E73">
        <v>7</v>
      </c>
      <c r="F73" s="1">
        <v>45839</v>
      </c>
      <c r="G73">
        <v>20751</v>
      </c>
      <c r="H73">
        <v>121925</v>
      </c>
      <c r="I73">
        <v>17617</v>
      </c>
      <c r="J73">
        <v>0.3</v>
      </c>
      <c r="K73">
        <v>46.3</v>
      </c>
      <c r="L73">
        <v>35.9</v>
      </c>
      <c r="M73">
        <v>39.1</v>
      </c>
      <c r="N73">
        <v>30.6</v>
      </c>
      <c r="O73">
        <v>24</v>
      </c>
      <c r="P73">
        <v>33.4</v>
      </c>
      <c r="Q73">
        <v>32.299999999999997</v>
      </c>
      <c r="R73">
        <v>19.8</v>
      </c>
      <c r="S73">
        <v>9.5</v>
      </c>
      <c r="T73">
        <v>5</v>
      </c>
      <c r="U73">
        <v>19.100000000000001</v>
      </c>
      <c r="V73">
        <v>32.6</v>
      </c>
      <c r="W73">
        <v>30.2</v>
      </c>
      <c r="X73">
        <v>18</v>
      </c>
      <c r="Y73">
        <v>45.4</v>
      </c>
      <c r="Z73">
        <v>54.6</v>
      </c>
      <c r="AA73">
        <v>75.099999999999994</v>
      </c>
      <c r="AB73">
        <v>28.3</v>
      </c>
      <c r="AC73">
        <v>26.1</v>
      </c>
      <c r="AD73">
        <v>4.4000000000000004</v>
      </c>
      <c r="AE73">
        <v>0.37</v>
      </c>
    </row>
    <row r="74" spans="1:31" x14ac:dyDescent="0.25">
      <c r="A74" t="s">
        <v>92</v>
      </c>
      <c r="B74" t="s">
        <v>51</v>
      </c>
      <c r="C74" t="s">
        <v>93</v>
      </c>
      <c r="D74">
        <v>2025</v>
      </c>
      <c r="E74">
        <v>8</v>
      </c>
      <c r="F74" s="1">
        <v>45870</v>
      </c>
      <c r="G74">
        <v>20775</v>
      </c>
      <c r="H74">
        <v>142700</v>
      </c>
      <c r="I74">
        <v>17203</v>
      </c>
      <c r="J74">
        <v>0.22</v>
      </c>
      <c r="K74">
        <v>45.6</v>
      </c>
      <c r="L74">
        <v>35.799999999999997</v>
      </c>
      <c r="M74">
        <v>39.299999999999997</v>
      </c>
      <c r="N74">
        <v>31.7</v>
      </c>
      <c r="O74">
        <v>22.9</v>
      </c>
      <c r="P74">
        <v>29.3</v>
      </c>
      <c r="Q74">
        <v>30.6</v>
      </c>
      <c r="R74">
        <v>22.7</v>
      </c>
      <c r="S74">
        <v>12.3</v>
      </c>
      <c r="T74">
        <v>5</v>
      </c>
      <c r="U74">
        <v>18.600000000000001</v>
      </c>
      <c r="V74">
        <v>35.1</v>
      </c>
      <c r="W74">
        <v>29.1</v>
      </c>
      <c r="X74">
        <v>17.3</v>
      </c>
      <c r="Y74">
        <v>40.5</v>
      </c>
      <c r="Z74">
        <v>59.5</v>
      </c>
      <c r="AA74">
        <v>68.599999999999994</v>
      </c>
      <c r="AB74">
        <v>27.7</v>
      </c>
      <c r="AC74">
        <v>24.9</v>
      </c>
      <c r="AD74">
        <v>4.7</v>
      </c>
      <c r="AE74">
        <v>0.31</v>
      </c>
    </row>
    <row r="75" spans="1:31" x14ac:dyDescent="0.25">
      <c r="A75" t="s">
        <v>92</v>
      </c>
      <c r="B75" t="s">
        <v>51</v>
      </c>
      <c r="C75" t="s">
        <v>93</v>
      </c>
      <c r="D75">
        <v>2025</v>
      </c>
      <c r="E75">
        <v>9</v>
      </c>
      <c r="F75" s="1">
        <v>45901</v>
      </c>
      <c r="G75">
        <v>22572</v>
      </c>
      <c r="H75">
        <v>165272</v>
      </c>
      <c r="I75">
        <v>19216</v>
      </c>
      <c r="J75">
        <v>0.22</v>
      </c>
      <c r="K75">
        <v>44.7</v>
      </c>
      <c r="L75">
        <v>36.4</v>
      </c>
      <c r="M75">
        <v>41.4</v>
      </c>
      <c r="N75">
        <v>28.4</v>
      </c>
      <c r="O75">
        <v>23.6</v>
      </c>
      <c r="P75">
        <v>32.200000000000003</v>
      </c>
      <c r="Q75">
        <v>30.1</v>
      </c>
      <c r="R75">
        <v>20.6</v>
      </c>
      <c r="S75">
        <v>12.2</v>
      </c>
      <c r="T75">
        <v>5</v>
      </c>
      <c r="U75">
        <v>19.899999999999999</v>
      </c>
      <c r="V75">
        <v>33.6</v>
      </c>
      <c r="W75">
        <v>27.8</v>
      </c>
      <c r="X75">
        <v>18.7</v>
      </c>
      <c r="Y75">
        <v>43.9</v>
      </c>
      <c r="Z75">
        <v>56.1</v>
      </c>
      <c r="AA75">
        <v>75.099999999999994</v>
      </c>
      <c r="AB75">
        <v>29</v>
      </c>
      <c r="AC75">
        <v>25.4</v>
      </c>
      <c r="AD75">
        <v>3.9</v>
      </c>
      <c r="AE75">
        <v>0.37</v>
      </c>
    </row>
    <row r="76" spans="1:31" x14ac:dyDescent="0.25">
      <c r="A76" t="s">
        <v>92</v>
      </c>
      <c r="B76" t="s">
        <v>51</v>
      </c>
      <c r="C76" t="s">
        <v>93</v>
      </c>
      <c r="D76">
        <v>2025</v>
      </c>
      <c r="E76">
        <v>10</v>
      </c>
      <c r="F76" s="1">
        <v>45931</v>
      </c>
      <c r="G76">
        <v>22126</v>
      </c>
      <c r="H76">
        <v>187398</v>
      </c>
      <c r="I76">
        <v>19210</v>
      </c>
      <c r="J76">
        <v>0.26</v>
      </c>
      <c r="K76">
        <v>46.1</v>
      </c>
      <c r="L76">
        <v>33</v>
      </c>
      <c r="M76">
        <v>39.799999999999997</v>
      </c>
      <c r="N76">
        <v>30.5</v>
      </c>
      <c r="O76">
        <v>24.8</v>
      </c>
      <c r="P76">
        <v>31.4</v>
      </c>
      <c r="Q76">
        <v>31.1</v>
      </c>
      <c r="R76">
        <v>19.3</v>
      </c>
      <c r="S76">
        <v>13.2</v>
      </c>
      <c r="T76">
        <v>5</v>
      </c>
      <c r="U76">
        <v>14</v>
      </c>
      <c r="V76">
        <v>31.5</v>
      </c>
      <c r="W76">
        <v>29.7</v>
      </c>
      <c r="X76">
        <v>24.8</v>
      </c>
      <c r="Y76">
        <v>41.9</v>
      </c>
      <c r="Z76">
        <v>58.1</v>
      </c>
      <c r="AA76">
        <v>70.900000000000006</v>
      </c>
      <c r="AB76">
        <v>25.8</v>
      </c>
      <c r="AC76">
        <v>30.1</v>
      </c>
      <c r="AD76">
        <v>4.7</v>
      </c>
      <c r="AE76">
        <v>0.34</v>
      </c>
    </row>
    <row r="77" spans="1:31" x14ac:dyDescent="0.25">
      <c r="A77" t="s">
        <v>92</v>
      </c>
      <c r="B77" t="s">
        <v>51</v>
      </c>
      <c r="C77" t="s">
        <v>93</v>
      </c>
      <c r="D77">
        <v>2025</v>
      </c>
      <c r="E77">
        <v>11</v>
      </c>
      <c r="F77" s="1">
        <v>45962</v>
      </c>
      <c r="G77">
        <v>23316</v>
      </c>
      <c r="H77">
        <v>210714</v>
      </c>
      <c r="I77">
        <v>19244</v>
      </c>
      <c r="J77">
        <v>0.28000000000000003</v>
      </c>
      <c r="K77">
        <v>46</v>
      </c>
      <c r="L77">
        <v>33.200000000000003</v>
      </c>
      <c r="M77">
        <v>41.7</v>
      </c>
      <c r="N77">
        <v>28.8</v>
      </c>
      <c r="O77">
        <v>24.8</v>
      </c>
      <c r="P77">
        <v>35</v>
      </c>
      <c r="Q77">
        <v>30.4</v>
      </c>
      <c r="R77">
        <v>18.8</v>
      </c>
      <c r="S77">
        <v>10.8</v>
      </c>
      <c r="T77">
        <v>5</v>
      </c>
      <c r="U77">
        <v>19.7</v>
      </c>
      <c r="V77">
        <v>33</v>
      </c>
      <c r="W77">
        <v>28.2</v>
      </c>
      <c r="X77">
        <v>19.100000000000001</v>
      </c>
      <c r="Y77">
        <v>42.7</v>
      </c>
      <c r="Z77">
        <v>57.3</v>
      </c>
      <c r="AA77">
        <v>70.900000000000006</v>
      </c>
      <c r="AB77">
        <v>27.2</v>
      </c>
      <c r="AC77">
        <v>20.6</v>
      </c>
      <c r="AD77">
        <v>3.9</v>
      </c>
      <c r="AE77">
        <v>0.37</v>
      </c>
    </row>
    <row r="78" spans="1:31" x14ac:dyDescent="0.25">
      <c r="A78" t="s">
        <v>92</v>
      </c>
      <c r="B78" t="s">
        <v>51</v>
      </c>
      <c r="C78" t="s">
        <v>93</v>
      </c>
      <c r="D78">
        <v>2025</v>
      </c>
      <c r="E78">
        <v>12</v>
      </c>
      <c r="F78" s="1">
        <v>45992</v>
      </c>
      <c r="G78">
        <v>22269</v>
      </c>
      <c r="H78">
        <v>232983</v>
      </c>
      <c r="I78">
        <v>19436</v>
      </c>
      <c r="J78">
        <v>0.21</v>
      </c>
      <c r="K78">
        <v>46.5</v>
      </c>
      <c r="L78">
        <v>34.299999999999997</v>
      </c>
      <c r="M78">
        <v>39.6</v>
      </c>
      <c r="N78">
        <v>31.7</v>
      </c>
      <c r="O78">
        <v>27.5</v>
      </c>
      <c r="P78">
        <v>31.8</v>
      </c>
      <c r="Q78">
        <v>29.2</v>
      </c>
      <c r="R78">
        <v>23.6</v>
      </c>
      <c r="S78">
        <v>10.3</v>
      </c>
      <c r="T78">
        <v>5</v>
      </c>
      <c r="U78">
        <v>19</v>
      </c>
      <c r="V78">
        <v>30.1</v>
      </c>
      <c r="W78">
        <v>27.9</v>
      </c>
      <c r="X78">
        <v>23</v>
      </c>
      <c r="Y78">
        <v>42</v>
      </c>
      <c r="Z78">
        <v>58</v>
      </c>
      <c r="AA78">
        <v>69</v>
      </c>
      <c r="AB78">
        <v>27.8</v>
      </c>
      <c r="AC78">
        <v>25.9</v>
      </c>
      <c r="AD78">
        <v>4.2</v>
      </c>
      <c r="AE78">
        <v>0.4</v>
      </c>
    </row>
    <row r="79" spans="1:31" x14ac:dyDescent="0.25">
      <c r="A79" t="s">
        <v>92</v>
      </c>
      <c r="B79" t="s">
        <v>51</v>
      </c>
      <c r="C79" t="s">
        <v>93</v>
      </c>
      <c r="D79">
        <v>2026</v>
      </c>
      <c r="E79">
        <v>1</v>
      </c>
      <c r="F79" s="1">
        <v>46023</v>
      </c>
      <c r="G79">
        <v>23103</v>
      </c>
      <c r="H79">
        <v>256086</v>
      </c>
      <c r="I79">
        <v>19883</v>
      </c>
      <c r="J79">
        <v>0.22</v>
      </c>
      <c r="K79">
        <v>46.8</v>
      </c>
      <c r="L79">
        <v>34.9</v>
      </c>
      <c r="M79">
        <v>43.1</v>
      </c>
      <c r="N79">
        <v>29.9</v>
      </c>
      <c r="O79">
        <v>25</v>
      </c>
      <c r="P79">
        <v>33.799999999999997</v>
      </c>
      <c r="Q79">
        <v>30.5</v>
      </c>
      <c r="R79">
        <v>20.3</v>
      </c>
      <c r="S79">
        <v>10.5</v>
      </c>
      <c r="T79">
        <v>5</v>
      </c>
      <c r="U79">
        <v>17.899999999999999</v>
      </c>
      <c r="V79">
        <v>35.799999999999997</v>
      </c>
      <c r="W79">
        <v>30.2</v>
      </c>
      <c r="X79">
        <v>16</v>
      </c>
      <c r="Y79">
        <v>40.1</v>
      </c>
      <c r="Z79">
        <v>59.9</v>
      </c>
      <c r="AA79">
        <v>74.3</v>
      </c>
      <c r="AB79">
        <v>32.9</v>
      </c>
      <c r="AC79">
        <v>25.5</v>
      </c>
      <c r="AD79">
        <v>3.9</v>
      </c>
      <c r="AE79">
        <v>0.35</v>
      </c>
    </row>
    <row r="80" spans="1:31" x14ac:dyDescent="0.25">
      <c r="A80" t="s">
        <v>96</v>
      </c>
      <c r="B80" t="s">
        <v>51</v>
      </c>
      <c r="C80" t="s">
        <v>84</v>
      </c>
      <c r="D80">
        <v>2025</v>
      </c>
      <c r="E80">
        <v>1</v>
      </c>
      <c r="F80" s="1">
        <v>45658</v>
      </c>
      <c r="G80">
        <v>13353</v>
      </c>
      <c r="H80">
        <v>13353</v>
      </c>
      <c r="I80">
        <v>11329</v>
      </c>
      <c r="J80">
        <v>0.19</v>
      </c>
      <c r="K80">
        <v>47.4</v>
      </c>
      <c r="L80">
        <v>39.799999999999997</v>
      </c>
      <c r="M80">
        <v>37.200000000000003</v>
      </c>
      <c r="N80">
        <v>26</v>
      </c>
      <c r="O80">
        <v>21.3</v>
      </c>
      <c r="P80">
        <v>30.1</v>
      </c>
      <c r="Q80">
        <v>31.5</v>
      </c>
      <c r="R80">
        <v>22.5</v>
      </c>
      <c r="S80">
        <v>10.9</v>
      </c>
      <c r="T80">
        <v>5</v>
      </c>
      <c r="U80">
        <v>18</v>
      </c>
      <c r="V80">
        <v>31.6</v>
      </c>
      <c r="W80">
        <v>27.7</v>
      </c>
      <c r="X80">
        <v>22.7</v>
      </c>
      <c r="Y80">
        <v>45.5</v>
      </c>
      <c r="Z80">
        <v>54.5</v>
      </c>
      <c r="AA80">
        <v>71.8</v>
      </c>
      <c r="AB80">
        <v>34.5</v>
      </c>
      <c r="AC80">
        <v>28.5</v>
      </c>
      <c r="AD80">
        <v>4.0999999999999996</v>
      </c>
      <c r="AE80">
        <v>0.31</v>
      </c>
    </row>
    <row r="81" spans="1:31" x14ac:dyDescent="0.25">
      <c r="A81" t="s">
        <v>96</v>
      </c>
      <c r="B81" t="s">
        <v>51</v>
      </c>
      <c r="C81" t="s">
        <v>84</v>
      </c>
      <c r="D81">
        <v>2025</v>
      </c>
      <c r="E81">
        <v>2</v>
      </c>
      <c r="F81" s="1">
        <v>45689</v>
      </c>
      <c r="G81">
        <v>14846</v>
      </c>
      <c r="H81">
        <v>28199</v>
      </c>
      <c r="I81">
        <v>12645</v>
      </c>
      <c r="J81">
        <v>0.21</v>
      </c>
      <c r="K81">
        <v>46</v>
      </c>
      <c r="L81">
        <v>40.9</v>
      </c>
      <c r="M81">
        <v>34.4</v>
      </c>
      <c r="N81">
        <v>27.3</v>
      </c>
      <c r="O81">
        <v>19.600000000000001</v>
      </c>
      <c r="P81">
        <v>35.1</v>
      </c>
      <c r="Q81">
        <v>30.2</v>
      </c>
      <c r="R81">
        <v>22.5</v>
      </c>
      <c r="S81">
        <v>10.199999999999999</v>
      </c>
      <c r="T81">
        <v>2</v>
      </c>
      <c r="U81">
        <v>19.8</v>
      </c>
      <c r="V81">
        <v>31.2</v>
      </c>
      <c r="W81">
        <v>30.8</v>
      </c>
      <c r="X81">
        <v>18.3</v>
      </c>
      <c r="Y81">
        <v>46</v>
      </c>
      <c r="Z81">
        <v>54</v>
      </c>
      <c r="AA81">
        <v>75.8</v>
      </c>
      <c r="AB81">
        <v>30</v>
      </c>
      <c r="AC81">
        <v>23.1</v>
      </c>
      <c r="AD81">
        <v>4.8</v>
      </c>
      <c r="AE81">
        <v>0.32</v>
      </c>
    </row>
    <row r="82" spans="1:31" x14ac:dyDescent="0.25">
      <c r="A82" t="s">
        <v>96</v>
      </c>
      <c r="B82" t="s">
        <v>51</v>
      </c>
      <c r="C82" t="s">
        <v>84</v>
      </c>
      <c r="D82">
        <v>2025</v>
      </c>
      <c r="E82">
        <v>3</v>
      </c>
      <c r="F82" s="1">
        <v>45717</v>
      </c>
      <c r="G82">
        <v>15514</v>
      </c>
      <c r="H82">
        <v>43713</v>
      </c>
      <c r="I82">
        <v>13566</v>
      </c>
      <c r="J82">
        <v>0.31</v>
      </c>
      <c r="K82">
        <v>47.4</v>
      </c>
      <c r="L82">
        <v>39.5</v>
      </c>
      <c r="M82">
        <v>36.5</v>
      </c>
      <c r="N82">
        <v>25</v>
      </c>
      <c r="O82">
        <v>20.100000000000001</v>
      </c>
      <c r="P82">
        <v>30.9</v>
      </c>
      <c r="Q82">
        <v>28.2</v>
      </c>
      <c r="R82">
        <v>22.3</v>
      </c>
      <c r="S82">
        <v>13.6</v>
      </c>
      <c r="T82">
        <v>5</v>
      </c>
      <c r="U82">
        <v>15.4</v>
      </c>
      <c r="V82">
        <v>33.799999999999997</v>
      </c>
      <c r="W82">
        <v>27.1</v>
      </c>
      <c r="X82">
        <v>23.7</v>
      </c>
      <c r="Y82">
        <v>41.9</v>
      </c>
      <c r="Z82">
        <v>58.1</v>
      </c>
      <c r="AA82">
        <v>73.8</v>
      </c>
      <c r="AB82">
        <v>23.3</v>
      </c>
      <c r="AC82">
        <v>25.1</v>
      </c>
      <c r="AD82">
        <v>3.9</v>
      </c>
      <c r="AE82">
        <v>0.34</v>
      </c>
    </row>
    <row r="83" spans="1:31" x14ac:dyDescent="0.25">
      <c r="A83" t="s">
        <v>96</v>
      </c>
      <c r="B83" t="s">
        <v>51</v>
      </c>
      <c r="C83" t="s">
        <v>84</v>
      </c>
      <c r="D83">
        <v>2025</v>
      </c>
      <c r="E83">
        <v>4</v>
      </c>
      <c r="F83" s="1">
        <v>45748</v>
      </c>
      <c r="G83">
        <v>15815</v>
      </c>
      <c r="H83">
        <v>59528</v>
      </c>
      <c r="I83">
        <v>13910</v>
      </c>
      <c r="J83">
        <v>0.19</v>
      </c>
      <c r="K83">
        <v>46.8</v>
      </c>
      <c r="L83">
        <v>38.5</v>
      </c>
      <c r="M83">
        <v>36.700000000000003</v>
      </c>
      <c r="N83">
        <v>28.4</v>
      </c>
      <c r="O83">
        <v>22.4</v>
      </c>
      <c r="P83">
        <v>31.1</v>
      </c>
      <c r="Q83">
        <v>32.700000000000003</v>
      </c>
      <c r="R83">
        <v>19.8</v>
      </c>
      <c r="S83">
        <v>11.5</v>
      </c>
      <c r="T83">
        <v>5</v>
      </c>
      <c r="U83">
        <v>15.3</v>
      </c>
      <c r="V83">
        <v>30.2</v>
      </c>
      <c r="W83">
        <v>26.2</v>
      </c>
      <c r="X83">
        <v>28.3</v>
      </c>
      <c r="Y83">
        <v>41.1</v>
      </c>
      <c r="Z83">
        <v>58.9</v>
      </c>
      <c r="AA83">
        <v>70.3</v>
      </c>
      <c r="AB83">
        <v>35.299999999999997</v>
      </c>
      <c r="AC83">
        <v>27</v>
      </c>
      <c r="AD83">
        <v>3.9</v>
      </c>
      <c r="AE83">
        <v>0.34</v>
      </c>
    </row>
    <row r="84" spans="1:31" x14ac:dyDescent="0.25">
      <c r="A84" t="s">
        <v>96</v>
      </c>
      <c r="B84" t="s">
        <v>51</v>
      </c>
      <c r="C84" t="s">
        <v>84</v>
      </c>
      <c r="D84">
        <v>2025</v>
      </c>
      <c r="E84">
        <v>5</v>
      </c>
      <c r="F84" s="1">
        <v>45778</v>
      </c>
      <c r="G84">
        <v>16595</v>
      </c>
      <c r="H84">
        <v>76123</v>
      </c>
      <c r="I84">
        <v>14550</v>
      </c>
      <c r="J84">
        <v>0.3</v>
      </c>
      <c r="K84">
        <v>45.8</v>
      </c>
      <c r="L84">
        <v>39.5</v>
      </c>
      <c r="M84">
        <v>35.799999999999997</v>
      </c>
      <c r="N84">
        <v>25.8</v>
      </c>
      <c r="O84">
        <v>21.4</v>
      </c>
      <c r="P84">
        <v>31.3</v>
      </c>
      <c r="Q84">
        <v>30.9</v>
      </c>
      <c r="R84">
        <v>23</v>
      </c>
      <c r="S84">
        <v>10.7</v>
      </c>
      <c r="T84">
        <v>4.2</v>
      </c>
      <c r="U84">
        <v>18.2</v>
      </c>
      <c r="V84">
        <v>34.6</v>
      </c>
      <c r="W84">
        <v>29.3</v>
      </c>
      <c r="X84">
        <v>17.899999999999999</v>
      </c>
      <c r="Y84">
        <v>40.9</v>
      </c>
      <c r="Z84">
        <v>59.1</v>
      </c>
      <c r="AA84">
        <v>72.3</v>
      </c>
      <c r="AB84">
        <v>26</v>
      </c>
      <c r="AC84">
        <v>25.1</v>
      </c>
      <c r="AD84">
        <v>4.0999999999999996</v>
      </c>
      <c r="AE84">
        <v>0.35</v>
      </c>
    </row>
    <row r="85" spans="1:31" x14ac:dyDescent="0.25">
      <c r="A85" t="s">
        <v>96</v>
      </c>
      <c r="B85" t="s">
        <v>51</v>
      </c>
      <c r="C85" t="s">
        <v>84</v>
      </c>
      <c r="D85">
        <v>2025</v>
      </c>
      <c r="E85">
        <v>6</v>
      </c>
      <c r="F85" s="1">
        <v>45809</v>
      </c>
      <c r="G85">
        <v>15232</v>
      </c>
      <c r="H85">
        <v>91355</v>
      </c>
      <c r="I85">
        <v>13379</v>
      </c>
      <c r="J85">
        <v>0.21</v>
      </c>
      <c r="K85">
        <v>45.4</v>
      </c>
      <c r="L85">
        <v>40.4</v>
      </c>
      <c r="M85">
        <v>34</v>
      </c>
      <c r="N85">
        <v>28.2</v>
      </c>
      <c r="O85">
        <v>23.3</v>
      </c>
      <c r="P85">
        <v>34.5</v>
      </c>
      <c r="Q85">
        <v>27.1</v>
      </c>
      <c r="R85">
        <v>20.2</v>
      </c>
      <c r="S85">
        <v>13.5</v>
      </c>
      <c r="T85">
        <v>4.5999999999999996</v>
      </c>
      <c r="U85">
        <v>18.8</v>
      </c>
      <c r="V85">
        <v>35.9</v>
      </c>
      <c r="W85">
        <v>29.8</v>
      </c>
      <c r="X85">
        <v>15.5</v>
      </c>
      <c r="Y85">
        <v>42.4</v>
      </c>
      <c r="Z85">
        <v>57.6</v>
      </c>
      <c r="AA85">
        <v>73.3</v>
      </c>
      <c r="AB85">
        <v>23.1</v>
      </c>
      <c r="AC85">
        <v>26.5</v>
      </c>
      <c r="AD85">
        <v>4.7</v>
      </c>
      <c r="AE85">
        <v>0.3</v>
      </c>
    </row>
    <row r="86" spans="1:31" x14ac:dyDescent="0.25">
      <c r="A86" t="s">
        <v>96</v>
      </c>
      <c r="B86" t="s">
        <v>51</v>
      </c>
      <c r="C86" t="s">
        <v>84</v>
      </c>
      <c r="D86">
        <v>2025</v>
      </c>
      <c r="E86">
        <v>7</v>
      </c>
      <c r="F86" s="1">
        <v>45839</v>
      </c>
      <c r="G86">
        <v>16546</v>
      </c>
      <c r="H86">
        <v>107901</v>
      </c>
      <c r="I86">
        <v>14164</v>
      </c>
      <c r="J86">
        <v>0.22</v>
      </c>
      <c r="K86">
        <v>46.6</v>
      </c>
      <c r="L86">
        <v>40.4</v>
      </c>
      <c r="M86">
        <v>36.200000000000003</v>
      </c>
      <c r="N86">
        <v>27.6</v>
      </c>
      <c r="O86">
        <v>21.3</v>
      </c>
      <c r="P86">
        <v>34.9</v>
      </c>
      <c r="Q86">
        <v>27.6</v>
      </c>
      <c r="R86">
        <v>22.8</v>
      </c>
      <c r="S86">
        <v>10</v>
      </c>
      <c r="T86">
        <v>4.5999999999999996</v>
      </c>
      <c r="U86">
        <v>16.100000000000001</v>
      </c>
      <c r="V86">
        <v>32</v>
      </c>
      <c r="W86">
        <v>30.9</v>
      </c>
      <c r="X86">
        <v>21</v>
      </c>
      <c r="Y86">
        <v>45.1</v>
      </c>
      <c r="Z86">
        <v>54.9</v>
      </c>
      <c r="AA86">
        <v>73.8</v>
      </c>
      <c r="AB86">
        <v>29.9</v>
      </c>
      <c r="AC86">
        <v>31.4</v>
      </c>
      <c r="AD86">
        <v>4.5</v>
      </c>
      <c r="AE86">
        <v>0.34</v>
      </c>
    </row>
    <row r="87" spans="1:31" x14ac:dyDescent="0.25">
      <c r="A87" t="s">
        <v>96</v>
      </c>
      <c r="B87" t="s">
        <v>51</v>
      </c>
      <c r="C87" t="s">
        <v>84</v>
      </c>
      <c r="D87">
        <v>2025</v>
      </c>
      <c r="E87">
        <v>8</v>
      </c>
      <c r="F87" s="1">
        <v>45870</v>
      </c>
      <c r="G87">
        <v>16616</v>
      </c>
      <c r="H87">
        <v>124517</v>
      </c>
      <c r="I87">
        <v>14461</v>
      </c>
      <c r="J87">
        <v>0.18</v>
      </c>
      <c r="K87">
        <v>46.6</v>
      </c>
      <c r="L87">
        <v>40.700000000000003</v>
      </c>
      <c r="M87">
        <v>35.200000000000003</v>
      </c>
      <c r="N87">
        <v>28.7</v>
      </c>
      <c r="O87">
        <v>23.5</v>
      </c>
      <c r="P87">
        <v>33.299999999999997</v>
      </c>
      <c r="Q87">
        <v>29</v>
      </c>
      <c r="R87">
        <v>19.399999999999999</v>
      </c>
      <c r="S87">
        <v>13.3</v>
      </c>
      <c r="T87">
        <v>5</v>
      </c>
      <c r="U87">
        <v>14.9</v>
      </c>
      <c r="V87">
        <v>31.9</v>
      </c>
      <c r="W87">
        <v>27.5</v>
      </c>
      <c r="X87">
        <v>25.7</v>
      </c>
      <c r="Y87">
        <v>45.2</v>
      </c>
      <c r="Z87">
        <v>54.8</v>
      </c>
      <c r="AA87">
        <v>74.400000000000006</v>
      </c>
      <c r="AB87">
        <v>25.5</v>
      </c>
      <c r="AC87">
        <v>27.5</v>
      </c>
      <c r="AD87">
        <v>4.4000000000000004</v>
      </c>
      <c r="AE87">
        <v>0.31</v>
      </c>
    </row>
    <row r="88" spans="1:31" x14ac:dyDescent="0.25">
      <c r="A88" t="s">
        <v>96</v>
      </c>
      <c r="B88" t="s">
        <v>51</v>
      </c>
      <c r="C88" t="s">
        <v>84</v>
      </c>
      <c r="D88">
        <v>2025</v>
      </c>
      <c r="E88">
        <v>9</v>
      </c>
      <c r="F88" s="1">
        <v>45901</v>
      </c>
      <c r="G88">
        <v>18919</v>
      </c>
      <c r="H88">
        <v>143436</v>
      </c>
      <c r="I88">
        <v>15840</v>
      </c>
      <c r="J88">
        <v>0.22</v>
      </c>
      <c r="K88">
        <v>45.6</v>
      </c>
      <c r="L88">
        <v>41.3</v>
      </c>
      <c r="M88">
        <v>37.299999999999997</v>
      </c>
      <c r="N88">
        <v>27.8</v>
      </c>
      <c r="O88">
        <v>20.9</v>
      </c>
      <c r="P88">
        <v>33.200000000000003</v>
      </c>
      <c r="Q88">
        <v>30</v>
      </c>
      <c r="R88">
        <v>21.8</v>
      </c>
      <c r="S88">
        <v>10</v>
      </c>
      <c r="T88">
        <v>5</v>
      </c>
      <c r="U88">
        <v>16.5</v>
      </c>
      <c r="V88">
        <v>34.5</v>
      </c>
      <c r="W88">
        <v>26.5</v>
      </c>
      <c r="X88">
        <v>22.5</v>
      </c>
      <c r="Y88">
        <v>41.7</v>
      </c>
      <c r="Z88">
        <v>58.3</v>
      </c>
      <c r="AA88">
        <v>71.5</v>
      </c>
      <c r="AB88">
        <v>35.700000000000003</v>
      </c>
      <c r="AC88">
        <v>20.8</v>
      </c>
      <c r="AD88">
        <v>4.0999999999999996</v>
      </c>
      <c r="AE88">
        <v>0.37</v>
      </c>
    </row>
    <row r="89" spans="1:31" x14ac:dyDescent="0.25">
      <c r="A89" t="s">
        <v>96</v>
      </c>
      <c r="B89" t="s">
        <v>51</v>
      </c>
      <c r="C89" t="s">
        <v>84</v>
      </c>
      <c r="D89">
        <v>2025</v>
      </c>
      <c r="E89">
        <v>10</v>
      </c>
      <c r="F89" s="1">
        <v>45931</v>
      </c>
      <c r="G89">
        <v>19387</v>
      </c>
      <c r="H89">
        <v>162823</v>
      </c>
      <c r="I89">
        <v>16389</v>
      </c>
      <c r="J89">
        <v>0.23</v>
      </c>
      <c r="K89">
        <v>45.7</v>
      </c>
      <c r="L89">
        <v>37.9</v>
      </c>
      <c r="M89">
        <v>36.5</v>
      </c>
      <c r="N89">
        <v>27.6</v>
      </c>
      <c r="O89">
        <v>22.1</v>
      </c>
      <c r="P89">
        <v>32.9</v>
      </c>
      <c r="Q89">
        <v>29.8</v>
      </c>
      <c r="R89">
        <v>22</v>
      </c>
      <c r="S89">
        <v>10.3</v>
      </c>
      <c r="T89">
        <v>5</v>
      </c>
      <c r="U89">
        <v>14.1</v>
      </c>
      <c r="V89">
        <v>35.799999999999997</v>
      </c>
      <c r="W89">
        <v>27.3</v>
      </c>
      <c r="X89">
        <v>22.9</v>
      </c>
      <c r="Y89">
        <v>44.1</v>
      </c>
      <c r="Z89">
        <v>55.9</v>
      </c>
      <c r="AA89">
        <v>72.900000000000006</v>
      </c>
      <c r="AB89">
        <v>26.4</v>
      </c>
      <c r="AC89">
        <v>23.3</v>
      </c>
      <c r="AD89">
        <v>3.8</v>
      </c>
      <c r="AE89">
        <v>0.39</v>
      </c>
    </row>
    <row r="90" spans="1:31" x14ac:dyDescent="0.25">
      <c r="A90" t="s">
        <v>96</v>
      </c>
      <c r="B90" t="s">
        <v>51</v>
      </c>
      <c r="C90" t="s">
        <v>84</v>
      </c>
      <c r="D90">
        <v>2025</v>
      </c>
      <c r="E90">
        <v>11</v>
      </c>
      <c r="F90" s="1">
        <v>45962</v>
      </c>
      <c r="G90">
        <v>20098</v>
      </c>
      <c r="H90">
        <v>182921</v>
      </c>
      <c r="I90">
        <v>17545</v>
      </c>
      <c r="J90">
        <v>0.21</v>
      </c>
      <c r="K90">
        <v>46.3</v>
      </c>
      <c r="L90">
        <v>41.4</v>
      </c>
      <c r="M90">
        <v>36.299999999999997</v>
      </c>
      <c r="N90">
        <v>26.9</v>
      </c>
      <c r="O90">
        <v>23.7</v>
      </c>
      <c r="P90">
        <v>32.799999999999997</v>
      </c>
      <c r="Q90">
        <v>29.1</v>
      </c>
      <c r="R90">
        <v>23.6</v>
      </c>
      <c r="S90">
        <v>9.5</v>
      </c>
      <c r="T90">
        <v>5</v>
      </c>
      <c r="U90">
        <v>18.5</v>
      </c>
      <c r="V90">
        <v>35.5</v>
      </c>
      <c r="W90">
        <v>28.2</v>
      </c>
      <c r="X90">
        <v>17.899999999999999</v>
      </c>
      <c r="Y90">
        <v>41.6</v>
      </c>
      <c r="Z90">
        <v>58.4</v>
      </c>
      <c r="AA90">
        <v>73.8</v>
      </c>
      <c r="AB90">
        <v>22.1</v>
      </c>
      <c r="AC90">
        <v>27.1</v>
      </c>
      <c r="AD90">
        <v>3.7</v>
      </c>
      <c r="AE90">
        <v>0.32</v>
      </c>
    </row>
    <row r="91" spans="1:31" x14ac:dyDescent="0.25">
      <c r="A91" t="s">
        <v>96</v>
      </c>
      <c r="B91" t="s">
        <v>51</v>
      </c>
      <c r="C91" t="s">
        <v>84</v>
      </c>
      <c r="D91">
        <v>2025</v>
      </c>
      <c r="E91">
        <v>12</v>
      </c>
      <c r="F91" s="1">
        <v>45992</v>
      </c>
      <c r="G91">
        <v>21163</v>
      </c>
      <c r="H91">
        <v>204084</v>
      </c>
      <c r="I91">
        <v>18291</v>
      </c>
      <c r="J91">
        <v>0.18</v>
      </c>
      <c r="K91">
        <v>45.2</v>
      </c>
      <c r="L91">
        <v>40.799999999999997</v>
      </c>
      <c r="M91">
        <v>35.799999999999997</v>
      </c>
      <c r="N91">
        <v>27.4</v>
      </c>
      <c r="O91">
        <v>23.6</v>
      </c>
      <c r="P91">
        <v>35.5</v>
      </c>
      <c r="Q91">
        <v>29.3</v>
      </c>
      <c r="R91">
        <v>19.2</v>
      </c>
      <c r="S91">
        <v>12.1</v>
      </c>
      <c r="T91">
        <v>4</v>
      </c>
      <c r="U91">
        <v>18.5</v>
      </c>
      <c r="V91">
        <v>34.4</v>
      </c>
      <c r="W91">
        <v>28.6</v>
      </c>
      <c r="X91">
        <v>18.5</v>
      </c>
      <c r="Y91">
        <v>40.4</v>
      </c>
      <c r="Z91">
        <v>59.6</v>
      </c>
      <c r="AA91">
        <v>75.400000000000006</v>
      </c>
      <c r="AB91">
        <v>30.2</v>
      </c>
      <c r="AC91">
        <v>26.5</v>
      </c>
      <c r="AD91">
        <v>4.5</v>
      </c>
      <c r="AE91">
        <v>0.35</v>
      </c>
    </row>
    <row r="92" spans="1:31" x14ac:dyDescent="0.25">
      <c r="A92" t="s">
        <v>96</v>
      </c>
      <c r="B92" t="s">
        <v>51</v>
      </c>
      <c r="C92" t="s">
        <v>84</v>
      </c>
      <c r="D92">
        <v>2026</v>
      </c>
      <c r="E92">
        <v>1</v>
      </c>
      <c r="F92" s="1">
        <v>46023</v>
      </c>
      <c r="G92">
        <v>20979</v>
      </c>
      <c r="H92">
        <v>225063</v>
      </c>
      <c r="I92">
        <v>17515</v>
      </c>
      <c r="J92">
        <v>0.28000000000000003</v>
      </c>
      <c r="K92">
        <v>45.8</v>
      </c>
      <c r="L92">
        <v>41.2</v>
      </c>
      <c r="M92">
        <v>38.700000000000003</v>
      </c>
      <c r="N92">
        <v>27.7</v>
      </c>
      <c r="O92">
        <v>25.5</v>
      </c>
      <c r="P92">
        <v>30</v>
      </c>
      <c r="Q92">
        <v>31.4</v>
      </c>
      <c r="R92">
        <v>21.3</v>
      </c>
      <c r="S92">
        <v>12.3</v>
      </c>
      <c r="T92">
        <v>5</v>
      </c>
      <c r="U92">
        <v>15.6</v>
      </c>
      <c r="V92">
        <v>31</v>
      </c>
      <c r="W92">
        <v>26.8</v>
      </c>
      <c r="X92">
        <v>26.7</v>
      </c>
      <c r="Y92">
        <v>40.4</v>
      </c>
      <c r="Z92">
        <v>59.6</v>
      </c>
      <c r="AA92">
        <v>73.3</v>
      </c>
      <c r="AB92">
        <v>34.299999999999997</v>
      </c>
      <c r="AC92">
        <v>29.8</v>
      </c>
      <c r="AD92">
        <v>3.9</v>
      </c>
      <c r="AE92">
        <v>0.35</v>
      </c>
    </row>
    <row r="93" spans="1:31" x14ac:dyDescent="0.25">
      <c r="A93" t="s">
        <v>100</v>
      </c>
      <c r="B93" t="s">
        <v>51</v>
      </c>
      <c r="C93" t="s">
        <v>52</v>
      </c>
      <c r="D93">
        <v>2025</v>
      </c>
      <c r="E93">
        <v>1</v>
      </c>
      <c r="F93" s="1">
        <v>45658</v>
      </c>
      <c r="G93">
        <v>9990</v>
      </c>
      <c r="H93">
        <v>9990</v>
      </c>
      <c r="I93">
        <v>8405</v>
      </c>
      <c r="J93">
        <v>0.23</v>
      </c>
      <c r="K93">
        <v>47</v>
      </c>
      <c r="L93">
        <v>37.4</v>
      </c>
      <c r="M93">
        <v>41.5</v>
      </c>
      <c r="N93">
        <v>23.2</v>
      </c>
      <c r="O93">
        <v>18.5</v>
      </c>
      <c r="P93">
        <v>29.6</v>
      </c>
      <c r="Q93">
        <v>31.2</v>
      </c>
      <c r="R93">
        <v>22.1</v>
      </c>
      <c r="S93">
        <v>13.2</v>
      </c>
      <c r="T93">
        <v>4</v>
      </c>
      <c r="U93">
        <v>19.2</v>
      </c>
      <c r="V93">
        <v>34.5</v>
      </c>
      <c r="W93">
        <v>28.2</v>
      </c>
      <c r="X93">
        <v>18.2</v>
      </c>
      <c r="Y93">
        <v>43.7</v>
      </c>
      <c r="Z93">
        <v>56.3</v>
      </c>
      <c r="AA93">
        <v>73.400000000000006</v>
      </c>
      <c r="AB93">
        <v>24.5</v>
      </c>
      <c r="AC93">
        <v>28.3</v>
      </c>
      <c r="AD93">
        <v>4.5</v>
      </c>
      <c r="AE93">
        <v>0.37</v>
      </c>
    </row>
    <row r="94" spans="1:31" x14ac:dyDescent="0.25">
      <c r="A94" t="s">
        <v>100</v>
      </c>
      <c r="B94" t="s">
        <v>51</v>
      </c>
      <c r="C94" t="s">
        <v>52</v>
      </c>
      <c r="D94">
        <v>2025</v>
      </c>
      <c r="E94">
        <v>2</v>
      </c>
      <c r="F94" s="1">
        <v>45689</v>
      </c>
      <c r="G94">
        <v>10723</v>
      </c>
      <c r="H94">
        <v>20713</v>
      </c>
      <c r="I94">
        <v>8896</v>
      </c>
      <c r="J94">
        <v>0.19</v>
      </c>
      <c r="K94">
        <v>44.6</v>
      </c>
      <c r="L94">
        <v>36.299999999999997</v>
      </c>
      <c r="M94">
        <v>38.9</v>
      </c>
      <c r="N94">
        <v>21.1</v>
      </c>
      <c r="O94">
        <v>18</v>
      </c>
      <c r="P94">
        <v>35.700000000000003</v>
      </c>
      <c r="Q94">
        <v>29.7</v>
      </c>
      <c r="R94">
        <v>21.3</v>
      </c>
      <c r="S94">
        <v>11.1</v>
      </c>
      <c r="T94">
        <v>2.2000000000000002</v>
      </c>
      <c r="U94">
        <v>16.600000000000001</v>
      </c>
      <c r="V94">
        <v>33.200000000000003</v>
      </c>
      <c r="W94">
        <v>29.5</v>
      </c>
      <c r="X94">
        <v>20.7</v>
      </c>
      <c r="Y94">
        <v>44.2</v>
      </c>
      <c r="Z94">
        <v>55.8</v>
      </c>
      <c r="AA94">
        <v>72</v>
      </c>
      <c r="AB94">
        <v>27.8</v>
      </c>
      <c r="AC94">
        <v>30.4</v>
      </c>
      <c r="AD94">
        <v>3.7</v>
      </c>
      <c r="AE94">
        <v>0.33</v>
      </c>
    </row>
    <row r="95" spans="1:31" x14ac:dyDescent="0.25">
      <c r="A95" t="s">
        <v>100</v>
      </c>
      <c r="B95" t="s">
        <v>51</v>
      </c>
      <c r="C95" t="s">
        <v>52</v>
      </c>
      <c r="D95">
        <v>2025</v>
      </c>
      <c r="E95">
        <v>3</v>
      </c>
      <c r="F95" s="1">
        <v>45717</v>
      </c>
      <c r="G95">
        <v>10806</v>
      </c>
      <c r="H95">
        <v>31519</v>
      </c>
      <c r="I95">
        <v>9309</v>
      </c>
      <c r="J95">
        <v>0.21</v>
      </c>
      <c r="K95">
        <v>45.7</v>
      </c>
      <c r="L95">
        <v>35.4</v>
      </c>
      <c r="M95">
        <v>40.1</v>
      </c>
      <c r="N95">
        <v>21.7</v>
      </c>
      <c r="O95">
        <v>18.100000000000001</v>
      </c>
      <c r="P95">
        <v>33.299999999999997</v>
      </c>
      <c r="Q95">
        <v>28.9</v>
      </c>
      <c r="R95">
        <v>22.7</v>
      </c>
      <c r="S95">
        <v>13.1</v>
      </c>
      <c r="T95">
        <v>2</v>
      </c>
      <c r="U95">
        <v>19.100000000000001</v>
      </c>
      <c r="V95">
        <v>32.9</v>
      </c>
      <c r="W95">
        <v>27.7</v>
      </c>
      <c r="X95">
        <v>20.399999999999999</v>
      </c>
      <c r="Y95">
        <v>44.7</v>
      </c>
      <c r="Z95">
        <v>55.3</v>
      </c>
      <c r="AA95">
        <v>69.5</v>
      </c>
      <c r="AB95">
        <v>34</v>
      </c>
      <c r="AC95">
        <v>30.6</v>
      </c>
      <c r="AD95">
        <v>4.7</v>
      </c>
      <c r="AE95">
        <v>0.32</v>
      </c>
    </row>
    <row r="96" spans="1:31" x14ac:dyDescent="0.25">
      <c r="A96" t="s">
        <v>100</v>
      </c>
      <c r="B96" t="s">
        <v>51</v>
      </c>
      <c r="C96" t="s">
        <v>52</v>
      </c>
      <c r="D96">
        <v>2025</v>
      </c>
      <c r="E96">
        <v>4</v>
      </c>
      <c r="F96" s="1">
        <v>45748</v>
      </c>
      <c r="G96">
        <v>10667</v>
      </c>
      <c r="H96">
        <v>42186</v>
      </c>
      <c r="I96">
        <v>9308</v>
      </c>
      <c r="J96">
        <v>0.23</v>
      </c>
      <c r="K96">
        <v>46.1</v>
      </c>
      <c r="L96">
        <v>36.9</v>
      </c>
      <c r="M96">
        <v>40.799999999999997</v>
      </c>
      <c r="N96">
        <v>20.6</v>
      </c>
      <c r="O96">
        <v>19.899999999999999</v>
      </c>
      <c r="P96">
        <v>30.5</v>
      </c>
      <c r="Q96">
        <v>29.7</v>
      </c>
      <c r="R96">
        <v>22.2</v>
      </c>
      <c r="S96">
        <v>12.6</v>
      </c>
      <c r="T96">
        <v>5</v>
      </c>
      <c r="U96">
        <v>17.899999999999999</v>
      </c>
      <c r="V96">
        <v>34.299999999999997</v>
      </c>
      <c r="W96">
        <v>26</v>
      </c>
      <c r="X96">
        <v>21.8</v>
      </c>
      <c r="Y96">
        <v>41.3</v>
      </c>
      <c r="Z96">
        <v>58.7</v>
      </c>
      <c r="AA96">
        <v>71.900000000000006</v>
      </c>
      <c r="AB96">
        <v>22.1</v>
      </c>
      <c r="AC96">
        <v>29.7</v>
      </c>
      <c r="AD96">
        <v>4.3</v>
      </c>
      <c r="AE96">
        <v>0.38</v>
      </c>
    </row>
    <row r="97" spans="1:31" x14ac:dyDescent="0.25">
      <c r="A97" t="s">
        <v>100</v>
      </c>
      <c r="B97" t="s">
        <v>51</v>
      </c>
      <c r="C97" t="s">
        <v>52</v>
      </c>
      <c r="D97">
        <v>2025</v>
      </c>
      <c r="E97">
        <v>5</v>
      </c>
      <c r="F97" s="1">
        <v>45778</v>
      </c>
      <c r="G97">
        <v>12559</v>
      </c>
      <c r="H97">
        <v>54745</v>
      </c>
      <c r="I97">
        <v>10903</v>
      </c>
      <c r="J97">
        <v>0.25</v>
      </c>
      <c r="K97">
        <v>44.9</v>
      </c>
      <c r="L97">
        <v>37.700000000000003</v>
      </c>
      <c r="M97">
        <v>41.4</v>
      </c>
      <c r="N97">
        <v>21.3</v>
      </c>
      <c r="O97">
        <v>19.600000000000001</v>
      </c>
      <c r="P97">
        <v>33.700000000000003</v>
      </c>
      <c r="Q97">
        <v>27.4</v>
      </c>
      <c r="R97">
        <v>21.3</v>
      </c>
      <c r="S97">
        <v>12.6</v>
      </c>
      <c r="T97">
        <v>5</v>
      </c>
      <c r="U97">
        <v>15.6</v>
      </c>
      <c r="V97">
        <v>31.2</v>
      </c>
      <c r="W97">
        <v>27.6</v>
      </c>
      <c r="X97">
        <v>25.6</v>
      </c>
      <c r="Y97">
        <v>41.4</v>
      </c>
      <c r="Z97">
        <v>58.6</v>
      </c>
      <c r="AA97">
        <v>71.400000000000006</v>
      </c>
      <c r="AB97">
        <v>34.700000000000003</v>
      </c>
      <c r="AC97">
        <v>26.1</v>
      </c>
      <c r="AD97">
        <v>4.5999999999999996</v>
      </c>
      <c r="AE97">
        <v>0.37</v>
      </c>
    </row>
    <row r="98" spans="1:31" x14ac:dyDescent="0.25">
      <c r="A98" t="s">
        <v>100</v>
      </c>
      <c r="B98" t="s">
        <v>51</v>
      </c>
      <c r="C98" t="s">
        <v>52</v>
      </c>
      <c r="D98">
        <v>2025</v>
      </c>
      <c r="E98">
        <v>6</v>
      </c>
      <c r="F98" s="1">
        <v>45809</v>
      </c>
      <c r="G98">
        <v>13285</v>
      </c>
      <c r="H98">
        <v>68030</v>
      </c>
      <c r="I98">
        <v>11110</v>
      </c>
      <c r="J98">
        <v>0.28000000000000003</v>
      </c>
      <c r="K98">
        <v>45.3</v>
      </c>
      <c r="L98">
        <v>38.4</v>
      </c>
      <c r="M98">
        <v>39.799999999999997</v>
      </c>
      <c r="N98">
        <v>22</v>
      </c>
      <c r="O98">
        <v>20</v>
      </c>
      <c r="P98">
        <v>31.9</v>
      </c>
      <c r="Q98">
        <v>28.3</v>
      </c>
      <c r="R98">
        <v>24</v>
      </c>
      <c r="S98">
        <v>10.8</v>
      </c>
      <c r="T98">
        <v>5</v>
      </c>
      <c r="U98">
        <v>16.600000000000001</v>
      </c>
      <c r="V98">
        <v>30.2</v>
      </c>
      <c r="W98">
        <v>27.3</v>
      </c>
      <c r="X98">
        <v>25.9</v>
      </c>
      <c r="Y98">
        <v>40.200000000000003</v>
      </c>
      <c r="Z98">
        <v>59.8</v>
      </c>
      <c r="AA98">
        <v>69.900000000000006</v>
      </c>
      <c r="AB98">
        <v>29.8</v>
      </c>
      <c r="AC98">
        <v>20.5</v>
      </c>
      <c r="AD98">
        <v>4</v>
      </c>
      <c r="AE98">
        <v>0.39</v>
      </c>
    </row>
    <row r="99" spans="1:31" x14ac:dyDescent="0.25">
      <c r="A99" t="s">
        <v>100</v>
      </c>
      <c r="B99" t="s">
        <v>51</v>
      </c>
      <c r="C99" t="s">
        <v>52</v>
      </c>
      <c r="D99">
        <v>2025</v>
      </c>
      <c r="E99">
        <v>7</v>
      </c>
      <c r="F99" s="1">
        <v>45839</v>
      </c>
      <c r="G99">
        <v>14351</v>
      </c>
      <c r="H99">
        <v>82381</v>
      </c>
      <c r="I99">
        <v>12478</v>
      </c>
      <c r="J99">
        <v>0.3</v>
      </c>
      <c r="K99">
        <v>45.2</v>
      </c>
      <c r="L99">
        <v>35.9</v>
      </c>
      <c r="M99">
        <v>39.1</v>
      </c>
      <c r="N99">
        <v>25.2</v>
      </c>
      <c r="O99">
        <v>20.9</v>
      </c>
      <c r="P99">
        <v>29.8</v>
      </c>
      <c r="Q99">
        <v>29.4</v>
      </c>
      <c r="R99">
        <v>23.9</v>
      </c>
      <c r="S99">
        <v>11.8</v>
      </c>
      <c r="T99">
        <v>5</v>
      </c>
      <c r="U99">
        <v>15.9</v>
      </c>
      <c r="V99">
        <v>33.9</v>
      </c>
      <c r="W99">
        <v>27.2</v>
      </c>
      <c r="X99">
        <v>23</v>
      </c>
      <c r="Y99">
        <v>40.1</v>
      </c>
      <c r="Z99">
        <v>59.9</v>
      </c>
      <c r="AA99">
        <v>73</v>
      </c>
      <c r="AB99">
        <v>32.700000000000003</v>
      </c>
      <c r="AC99">
        <v>20.5</v>
      </c>
      <c r="AD99">
        <v>4.5999999999999996</v>
      </c>
      <c r="AE99">
        <v>0.36</v>
      </c>
    </row>
    <row r="100" spans="1:31" x14ac:dyDescent="0.25">
      <c r="A100" t="s">
        <v>100</v>
      </c>
      <c r="B100" t="s">
        <v>51</v>
      </c>
      <c r="C100" t="s">
        <v>52</v>
      </c>
      <c r="D100">
        <v>2025</v>
      </c>
      <c r="E100">
        <v>8</v>
      </c>
      <c r="F100" s="1">
        <v>45870</v>
      </c>
      <c r="G100">
        <v>14087</v>
      </c>
      <c r="H100">
        <v>96468</v>
      </c>
      <c r="I100">
        <v>12388</v>
      </c>
      <c r="J100">
        <v>0.28999999999999998</v>
      </c>
      <c r="K100">
        <v>45.8</v>
      </c>
      <c r="L100">
        <v>38.6</v>
      </c>
      <c r="M100">
        <v>39.799999999999997</v>
      </c>
      <c r="N100">
        <v>23.9</v>
      </c>
      <c r="O100">
        <v>23.7</v>
      </c>
      <c r="P100">
        <v>34.6</v>
      </c>
      <c r="Q100">
        <v>30.2</v>
      </c>
      <c r="R100">
        <v>19</v>
      </c>
      <c r="S100">
        <v>11.3</v>
      </c>
      <c r="T100">
        <v>5</v>
      </c>
      <c r="U100">
        <v>18</v>
      </c>
      <c r="V100">
        <v>34.1</v>
      </c>
      <c r="W100">
        <v>27.9</v>
      </c>
      <c r="X100">
        <v>20</v>
      </c>
      <c r="Y100">
        <v>45.7</v>
      </c>
      <c r="Z100">
        <v>54.3</v>
      </c>
      <c r="AA100">
        <v>72</v>
      </c>
      <c r="AB100">
        <v>31.7</v>
      </c>
      <c r="AC100">
        <v>28.4</v>
      </c>
      <c r="AD100">
        <v>4.3</v>
      </c>
      <c r="AE100">
        <v>0.32</v>
      </c>
    </row>
    <row r="101" spans="1:31" x14ac:dyDescent="0.25">
      <c r="A101" t="s">
        <v>100</v>
      </c>
      <c r="B101" t="s">
        <v>51</v>
      </c>
      <c r="C101" t="s">
        <v>52</v>
      </c>
      <c r="D101">
        <v>2025</v>
      </c>
      <c r="E101">
        <v>9</v>
      </c>
      <c r="F101" s="1">
        <v>45901</v>
      </c>
      <c r="G101">
        <v>14994</v>
      </c>
      <c r="H101">
        <v>111462</v>
      </c>
      <c r="I101">
        <v>12704</v>
      </c>
      <c r="J101">
        <v>0.27</v>
      </c>
      <c r="K101">
        <v>47</v>
      </c>
      <c r="L101">
        <v>37.700000000000003</v>
      </c>
      <c r="M101">
        <v>42.1</v>
      </c>
      <c r="N101">
        <v>24.2</v>
      </c>
      <c r="O101">
        <v>23.2</v>
      </c>
      <c r="P101">
        <v>30.2</v>
      </c>
      <c r="Q101">
        <v>31.5</v>
      </c>
      <c r="R101">
        <v>21.5</v>
      </c>
      <c r="S101">
        <v>12</v>
      </c>
      <c r="T101">
        <v>4.8</v>
      </c>
      <c r="U101">
        <v>16.100000000000001</v>
      </c>
      <c r="V101">
        <v>30.3</v>
      </c>
      <c r="W101">
        <v>26.2</v>
      </c>
      <c r="X101">
        <v>27.4</v>
      </c>
      <c r="Y101">
        <v>42.5</v>
      </c>
      <c r="Z101">
        <v>57.5</v>
      </c>
      <c r="AA101">
        <v>72.900000000000006</v>
      </c>
      <c r="AB101">
        <v>34.299999999999997</v>
      </c>
      <c r="AC101">
        <v>30.6</v>
      </c>
      <c r="AD101">
        <v>3.8</v>
      </c>
      <c r="AE101">
        <v>0.37</v>
      </c>
    </row>
    <row r="102" spans="1:31" x14ac:dyDescent="0.25">
      <c r="A102" t="s">
        <v>100</v>
      </c>
      <c r="B102" t="s">
        <v>51</v>
      </c>
      <c r="C102" t="s">
        <v>52</v>
      </c>
      <c r="D102">
        <v>2025</v>
      </c>
      <c r="E102">
        <v>10</v>
      </c>
      <c r="F102" s="1">
        <v>45931</v>
      </c>
      <c r="G102">
        <v>14022</v>
      </c>
      <c r="H102">
        <v>125484</v>
      </c>
      <c r="I102">
        <v>12173</v>
      </c>
      <c r="J102">
        <v>0.32</v>
      </c>
      <c r="K102">
        <v>44.6</v>
      </c>
      <c r="L102">
        <v>35.700000000000003</v>
      </c>
      <c r="M102">
        <v>43</v>
      </c>
      <c r="N102">
        <v>24</v>
      </c>
      <c r="O102">
        <v>24.2</v>
      </c>
      <c r="P102">
        <v>34.299999999999997</v>
      </c>
      <c r="Q102">
        <v>28.8</v>
      </c>
      <c r="R102">
        <v>21.7</v>
      </c>
      <c r="S102">
        <v>10.1</v>
      </c>
      <c r="T102">
        <v>5</v>
      </c>
      <c r="U102">
        <v>16.8</v>
      </c>
      <c r="V102">
        <v>31.6</v>
      </c>
      <c r="W102">
        <v>26.5</v>
      </c>
      <c r="X102">
        <v>25.1</v>
      </c>
      <c r="Y102">
        <v>41</v>
      </c>
      <c r="Z102">
        <v>59</v>
      </c>
      <c r="AA102">
        <v>75.8</v>
      </c>
      <c r="AB102">
        <v>32.6</v>
      </c>
      <c r="AC102">
        <v>31.6</v>
      </c>
      <c r="AD102">
        <v>4</v>
      </c>
      <c r="AE102">
        <v>0.32</v>
      </c>
    </row>
    <row r="103" spans="1:31" x14ac:dyDescent="0.25">
      <c r="A103" t="s">
        <v>100</v>
      </c>
      <c r="B103" t="s">
        <v>51</v>
      </c>
      <c r="C103" t="s">
        <v>52</v>
      </c>
      <c r="D103">
        <v>2025</v>
      </c>
      <c r="E103">
        <v>11</v>
      </c>
      <c r="F103" s="1">
        <v>45962</v>
      </c>
      <c r="G103">
        <v>14089</v>
      </c>
      <c r="H103">
        <v>139573</v>
      </c>
      <c r="I103">
        <v>11769</v>
      </c>
      <c r="J103">
        <v>0.23</v>
      </c>
      <c r="K103">
        <v>46.5</v>
      </c>
      <c r="L103">
        <v>35.9</v>
      </c>
      <c r="M103">
        <v>42.5</v>
      </c>
      <c r="N103">
        <v>23</v>
      </c>
      <c r="O103">
        <v>22.6</v>
      </c>
      <c r="P103">
        <v>33.6</v>
      </c>
      <c r="Q103">
        <v>29.7</v>
      </c>
      <c r="R103">
        <v>19.600000000000001</v>
      </c>
      <c r="S103">
        <v>12.1</v>
      </c>
      <c r="T103">
        <v>5</v>
      </c>
      <c r="U103">
        <v>15.6</v>
      </c>
      <c r="V103">
        <v>32.9</v>
      </c>
      <c r="W103">
        <v>26.4</v>
      </c>
      <c r="X103">
        <v>25</v>
      </c>
      <c r="Y103">
        <v>42.8</v>
      </c>
      <c r="Z103">
        <v>57.2</v>
      </c>
      <c r="AA103">
        <v>74.599999999999994</v>
      </c>
      <c r="AB103">
        <v>22.8</v>
      </c>
      <c r="AC103">
        <v>25</v>
      </c>
      <c r="AD103">
        <v>4.5</v>
      </c>
      <c r="AE103">
        <v>0.39</v>
      </c>
    </row>
    <row r="104" spans="1:31" x14ac:dyDescent="0.25">
      <c r="A104" t="s">
        <v>100</v>
      </c>
      <c r="B104" t="s">
        <v>51</v>
      </c>
      <c r="C104" t="s">
        <v>52</v>
      </c>
      <c r="D104">
        <v>2025</v>
      </c>
      <c r="E104">
        <v>12</v>
      </c>
      <c r="F104" s="1">
        <v>45992</v>
      </c>
      <c r="G104">
        <v>14975</v>
      </c>
      <c r="H104">
        <v>154548</v>
      </c>
      <c r="I104">
        <v>12762</v>
      </c>
      <c r="J104">
        <v>0.3</v>
      </c>
      <c r="K104">
        <v>47.5</v>
      </c>
      <c r="L104">
        <v>37.200000000000003</v>
      </c>
      <c r="M104">
        <v>40.200000000000003</v>
      </c>
      <c r="N104">
        <v>24.7</v>
      </c>
      <c r="O104">
        <v>24.6</v>
      </c>
      <c r="P104">
        <v>34.6</v>
      </c>
      <c r="Q104">
        <v>27.1</v>
      </c>
      <c r="R104">
        <v>19.5</v>
      </c>
      <c r="S104">
        <v>13.8</v>
      </c>
      <c r="T104">
        <v>5</v>
      </c>
      <c r="U104">
        <v>15.1</v>
      </c>
      <c r="V104">
        <v>33.4</v>
      </c>
      <c r="W104">
        <v>28.9</v>
      </c>
      <c r="X104">
        <v>22.6</v>
      </c>
      <c r="Y104">
        <v>42.9</v>
      </c>
      <c r="Z104">
        <v>57.1</v>
      </c>
      <c r="AA104">
        <v>69.8</v>
      </c>
      <c r="AB104">
        <v>29.7</v>
      </c>
      <c r="AC104">
        <v>24.5</v>
      </c>
      <c r="AD104">
        <v>3.9</v>
      </c>
      <c r="AE104">
        <v>0.32</v>
      </c>
    </row>
    <row r="105" spans="1:31" x14ac:dyDescent="0.25">
      <c r="A105" t="s">
        <v>100</v>
      </c>
      <c r="B105" t="s">
        <v>51</v>
      </c>
      <c r="C105" t="s">
        <v>52</v>
      </c>
      <c r="D105">
        <v>2026</v>
      </c>
      <c r="E105">
        <v>1</v>
      </c>
      <c r="F105" s="1">
        <v>46023</v>
      </c>
      <c r="G105">
        <v>15087</v>
      </c>
      <c r="H105">
        <v>169635</v>
      </c>
      <c r="I105">
        <v>13118</v>
      </c>
      <c r="J105">
        <v>0.22</v>
      </c>
      <c r="K105">
        <v>47.3</v>
      </c>
      <c r="L105">
        <v>36.299999999999997</v>
      </c>
      <c r="M105">
        <v>40.200000000000003</v>
      </c>
      <c r="N105">
        <v>24.5</v>
      </c>
      <c r="O105">
        <v>25.2</v>
      </c>
      <c r="P105">
        <v>31.4</v>
      </c>
      <c r="Q105">
        <v>32.5</v>
      </c>
      <c r="R105">
        <v>20.8</v>
      </c>
      <c r="S105">
        <v>10.3</v>
      </c>
      <c r="T105">
        <v>5</v>
      </c>
      <c r="U105">
        <v>14</v>
      </c>
      <c r="V105">
        <v>35.200000000000003</v>
      </c>
      <c r="W105">
        <v>30</v>
      </c>
      <c r="X105">
        <v>20.8</v>
      </c>
      <c r="Y105">
        <v>43.8</v>
      </c>
      <c r="Z105">
        <v>56.2</v>
      </c>
      <c r="AA105">
        <v>69.2</v>
      </c>
      <c r="AB105">
        <v>28.4</v>
      </c>
      <c r="AC105">
        <v>24.2</v>
      </c>
      <c r="AD105">
        <v>3.9</v>
      </c>
      <c r="AE105">
        <v>0.32</v>
      </c>
    </row>
    <row r="106" spans="1:31" x14ac:dyDescent="0.25">
      <c r="A106" t="s">
        <v>102</v>
      </c>
      <c r="B106" t="s">
        <v>51</v>
      </c>
      <c r="C106" t="s">
        <v>84</v>
      </c>
      <c r="D106">
        <v>2025</v>
      </c>
      <c r="E106">
        <v>1</v>
      </c>
      <c r="F106" s="1">
        <v>45658</v>
      </c>
      <c r="G106">
        <v>8538</v>
      </c>
      <c r="H106">
        <v>8538</v>
      </c>
      <c r="I106">
        <v>7466</v>
      </c>
      <c r="J106">
        <v>0.25</v>
      </c>
      <c r="K106">
        <v>45.9</v>
      </c>
      <c r="L106">
        <v>34.5</v>
      </c>
      <c r="M106">
        <v>38.299999999999997</v>
      </c>
      <c r="N106">
        <v>28.6</v>
      </c>
      <c r="O106">
        <v>21.7</v>
      </c>
      <c r="P106">
        <v>32.1</v>
      </c>
      <c r="Q106">
        <v>29.7</v>
      </c>
      <c r="R106">
        <v>23.5</v>
      </c>
      <c r="S106">
        <v>11.5</v>
      </c>
      <c r="T106">
        <v>3.2</v>
      </c>
      <c r="U106">
        <v>17</v>
      </c>
      <c r="V106">
        <v>30.3</v>
      </c>
      <c r="W106">
        <v>26.2</v>
      </c>
      <c r="X106">
        <v>26.5</v>
      </c>
      <c r="Y106">
        <v>43.3</v>
      </c>
      <c r="Z106">
        <v>56.7</v>
      </c>
      <c r="AA106">
        <v>74.7</v>
      </c>
      <c r="AB106">
        <v>24.2</v>
      </c>
      <c r="AC106">
        <v>20.3</v>
      </c>
      <c r="AD106">
        <v>3.7</v>
      </c>
      <c r="AE106">
        <v>0.36</v>
      </c>
    </row>
    <row r="107" spans="1:31" x14ac:dyDescent="0.25">
      <c r="A107" t="s">
        <v>102</v>
      </c>
      <c r="B107" t="s">
        <v>51</v>
      </c>
      <c r="C107" t="s">
        <v>84</v>
      </c>
      <c r="D107">
        <v>2025</v>
      </c>
      <c r="E107">
        <v>2</v>
      </c>
      <c r="F107" s="1">
        <v>45689</v>
      </c>
      <c r="G107">
        <v>9260</v>
      </c>
      <c r="H107">
        <v>17798</v>
      </c>
      <c r="I107">
        <v>7689</v>
      </c>
      <c r="J107">
        <v>0.23</v>
      </c>
      <c r="K107">
        <v>46.9</v>
      </c>
      <c r="L107">
        <v>35.200000000000003</v>
      </c>
      <c r="M107">
        <v>37.1</v>
      </c>
      <c r="N107">
        <v>30.3</v>
      </c>
      <c r="O107">
        <v>20.6</v>
      </c>
      <c r="P107">
        <v>35.9</v>
      </c>
      <c r="Q107">
        <v>28.7</v>
      </c>
      <c r="R107">
        <v>21.3</v>
      </c>
      <c r="S107">
        <v>9.1999999999999993</v>
      </c>
      <c r="T107">
        <v>5</v>
      </c>
      <c r="U107">
        <v>19.8</v>
      </c>
      <c r="V107">
        <v>34</v>
      </c>
      <c r="W107">
        <v>30.7</v>
      </c>
      <c r="X107">
        <v>15.6</v>
      </c>
      <c r="Y107">
        <v>41.6</v>
      </c>
      <c r="Z107">
        <v>58.4</v>
      </c>
      <c r="AA107">
        <v>73.400000000000006</v>
      </c>
      <c r="AB107">
        <v>26.4</v>
      </c>
      <c r="AC107">
        <v>30.2</v>
      </c>
      <c r="AD107">
        <v>3.9</v>
      </c>
      <c r="AE107">
        <v>0.4</v>
      </c>
    </row>
    <row r="108" spans="1:31" x14ac:dyDescent="0.25">
      <c r="A108" t="s">
        <v>102</v>
      </c>
      <c r="B108" t="s">
        <v>51</v>
      </c>
      <c r="C108" t="s">
        <v>84</v>
      </c>
      <c r="D108">
        <v>2025</v>
      </c>
      <c r="E108">
        <v>3</v>
      </c>
      <c r="F108" s="1">
        <v>45717</v>
      </c>
      <c r="G108">
        <v>9476</v>
      </c>
      <c r="H108">
        <v>27274</v>
      </c>
      <c r="I108">
        <v>8177</v>
      </c>
      <c r="J108">
        <v>0.28000000000000003</v>
      </c>
      <c r="K108">
        <v>46.4</v>
      </c>
      <c r="L108">
        <v>33.299999999999997</v>
      </c>
      <c r="M108">
        <v>38.1</v>
      </c>
      <c r="N108">
        <v>27.8</v>
      </c>
      <c r="O108">
        <v>21.9</v>
      </c>
      <c r="P108">
        <v>31.9</v>
      </c>
      <c r="Q108">
        <v>29.4</v>
      </c>
      <c r="R108">
        <v>24</v>
      </c>
      <c r="S108">
        <v>9.8000000000000007</v>
      </c>
      <c r="T108">
        <v>5</v>
      </c>
      <c r="U108">
        <v>19.8</v>
      </c>
      <c r="V108">
        <v>32.700000000000003</v>
      </c>
      <c r="W108">
        <v>28.5</v>
      </c>
      <c r="X108">
        <v>19</v>
      </c>
      <c r="Y108">
        <v>41.5</v>
      </c>
      <c r="Z108">
        <v>58.5</v>
      </c>
      <c r="AA108">
        <v>73.3</v>
      </c>
      <c r="AB108">
        <v>32.5</v>
      </c>
      <c r="AC108">
        <v>29</v>
      </c>
      <c r="AD108">
        <v>3.7</v>
      </c>
      <c r="AE108">
        <v>0.3</v>
      </c>
    </row>
    <row r="109" spans="1:31" x14ac:dyDescent="0.25">
      <c r="A109" t="s">
        <v>102</v>
      </c>
      <c r="B109" t="s">
        <v>51</v>
      </c>
      <c r="C109" t="s">
        <v>84</v>
      </c>
      <c r="D109">
        <v>2025</v>
      </c>
      <c r="E109">
        <v>4</v>
      </c>
      <c r="F109" s="1">
        <v>45748</v>
      </c>
      <c r="G109">
        <v>9809</v>
      </c>
      <c r="H109">
        <v>37083</v>
      </c>
      <c r="I109">
        <v>8433</v>
      </c>
      <c r="J109">
        <v>0.24</v>
      </c>
      <c r="K109">
        <v>45.7</v>
      </c>
      <c r="L109">
        <v>36</v>
      </c>
      <c r="M109">
        <v>40.5</v>
      </c>
      <c r="N109">
        <v>29.1</v>
      </c>
      <c r="O109">
        <v>23.3</v>
      </c>
      <c r="P109">
        <v>33.700000000000003</v>
      </c>
      <c r="Q109">
        <v>28.8</v>
      </c>
      <c r="R109">
        <v>22</v>
      </c>
      <c r="S109">
        <v>10.5</v>
      </c>
      <c r="T109">
        <v>5</v>
      </c>
      <c r="U109">
        <v>17.600000000000001</v>
      </c>
      <c r="V109">
        <v>32.6</v>
      </c>
      <c r="W109">
        <v>26.8</v>
      </c>
      <c r="X109">
        <v>23</v>
      </c>
      <c r="Y109">
        <v>40.700000000000003</v>
      </c>
      <c r="Z109">
        <v>59.3</v>
      </c>
      <c r="AA109">
        <v>75.2</v>
      </c>
      <c r="AB109">
        <v>26.8</v>
      </c>
      <c r="AC109">
        <v>28.8</v>
      </c>
      <c r="AD109">
        <v>4.4000000000000004</v>
      </c>
      <c r="AE109">
        <v>0.39</v>
      </c>
    </row>
    <row r="110" spans="1:31" x14ac:dyDescent="0.25">
      <c r="A110" t="s">
        <v>102</v>
      </c>
      <c r="B110" t="s">
        <v>51</v>
      </c>
      <c r="C110" t="s">
        <v>84</v>
      </c>
      <c r="D110">
        <v>2025</v>
      </c>
      <c r="E110">
        <v>5</v>
      </c>
      <c r="F110" s="1">
        <v>45778</v>
      </c>
      <c r="G110">
        <v>10656</v>
      </c>
      <c r="H110">
        <v>47739</v>
      </c>
      <c r="I110">
        <v>8946</v>
      </c>
      <c r="J110">
        <v>0.18</v>
      </c>
      <c r="K110">
        <v>47</v>
      </c>
      <c r="L110">
        <v>35.200000000000003</v>
      </c>
      <c r="M110">
        <v>39.299999999999997</v>
      </c>
      <c r="N110">
        <v>30</v>
      </c>
      <c r="O110">
        <v>21.4</v>
      </c>
      <c r="P110">
        <v>31.7</v>
      </c>
      <c r="Q110">
        <v>29.2</v>
      </c>
      <c r="R110">
        <v>23.6</v>
      </c>
      <c r="S110">
        <v>10.5</v>
      </c>
      <c r="T110">
        <v>5</v>
      </c>
      <c r="U110">
        <v>19.600000000000001</v>
      </c>
      <c r="V110">
        <v>34.9</v>
      </c>
      <c r="W110">
        <v>30.9</v>
      </c>
      <c r="X110">
        <v>14.5</v>
      </c>
      <c r="Y110">
        <v>41.6</v>
      </c>
      <c r="Z110">
        <v>58.4</v>
      </c>
      <c r="AA110">
        <v>71.400000000000006</v>
      </c>
      <c r="AB110">
        <v>26.9</v>
      </c>
      <c r="AC110">
        <v>20.6</v>
      </c>
      <c r="AD110">
        <v>4.3</v>
      </c>
      <c r="AE110">
        <v>0.33</v>
      </c>
    </row>
    <row r="111" spans="1:31" x14ac:dyDescent="0.25">
      <c r="A111" t="s">
        <v>102</v>
      </c>
      <c r="B111" t="s">
        <v>51</v>
      </c>
      <c r="C111" t="s">
        <v>84</v>
      </c>
      <c r="D111">
        <v>2025</v>
      </c>
      <c r="E111">
        <v>6</v>
      </c>
      <c r="F111" s="1">
        <v>45809</v>
      </c>
      <c r="G111">
        <v>11520</v>
      </c>
      <c r="H111">
        <v>59259</v>
      </c>
      <c r="I111">
        <v>9694</v>
      </c>
      <c r="J111">
        <v>0.3</v>
      </c>
      <c r="K111">
        <v>47</v>
      </c>
      <c r="L111">
        <v>36.299999999999997</v>
      </c>
      <c r="M111">
        <v>38.6</v>
      </c>
      <c r="N111">
        <v>31.6</v>
      </c>
      <c r="O111">
        <v>22.6</v>
      </c>
      <c r="P111">
        <v>34.9</v>
      </c>
      <c r="Q111">
        <v>28.6</v>
      </c>
      <c r="R111">
        <v>21</v>
      </c>
      <c r="S111">
        <v>10.5</v>
      </c>
      <c r="T111">
        <v>5</v>
      </c>
      <c r="U111">
        <v>19.600000000000001</v>
      </c>
      <c r="V111">
        <v>30.7</v>
      </c>
      <c r="W111">
        <v>30.7</v>
      </c>
      <c r="X111">
        <v>19</v>
      </c>
      <c r="Y111">
        <v>44.1</v>
      </c>
      <c r="Z111">
        <v>55.9</v>
      </c>
      <c r="AA111">
        <v>68.3</v>
      </c>
      <c r="AB111">
        <v>28.7</v>
      </c>
      <c r="AC111">
        <v>24.9</v>
      </c>
      <c r="AD111">
        <v>4.5</v>
      </c>
      <c r="AE111">
        <v>0.31</v>
      </c>
    </row>
    <row r="112" spans="1:31" x14ac:dyDescent="0.25">
      <c r="A112" t="s">
        <v>102</v>
      </c>
      <c r="B112" t="s">
        <v>51</v>
      </c>
      <c r="C112" t="s">
        <v>84</v>
      </c>
      <c r="D112">
        <v>2025</v>
      </c>
      <c r="E112">
        <v>7</v>
      </c>
      <c r="F112" s="1">
        <v>45839</v>
      </c>
      <c r="G112">
        <v>11770</v>
      </c>
      <c r="H112">
        <v>71029</v>
      </c>
      <c r="I112">
        <v>9733</v>
      </c>
      <c r="J112">
        <v>0.27</v>
      </c>
      <c r="K112">
        <v>47.3</v>
      </c>
      <c r="L112">
        <v>34.799999999999997</v>
      </c>
      <c r="M112">
        <v>38.700000000000003</v>
      </c>
      <c r="N112">
        <v>30.9</v>
      </c>
      <c r="O112">
        <v>23.3</v>
      </c>
      <c r="P112">
        <v>34.299999999999997</v>
      </c>
      <c r="Q112">
        <v>30.6</v>
      </c>
      <c r="R112">
        <v>19.100000000000001</v>
      </c>
      <c r="S112">
        <v>11</v>
      </c>
      <c r="T112">
        <v>5</v>
      </c>
      <c r="U112">
        <v>15.1</v>
      </c>
      <c r="V112">
        <v>30.9</v>
      </c>
      <c r="W112">
        <v>30.1</v>
      </c>
      <c r="X112">
        <v>23.8</v>
      </c>
      <c r="Y112">
        <v>40.299999999999997</v>
      </c>
      <c r="Z112">
        <v>59.7</v>
      </c>
      <c r="AA112">
        <v>69.3</v>
      </c>
      <c r="AB112">
        <v>34.299999999999997</v>
      </c>
      <c r="AC112">
        <v>26.7</v>
      </c>
      <c r="AD112">
        <v>3.9</v>
      </c>
      <c r="AE112">
        <v>0.39</v>
      </c>
    </row>
    <row r="113" spans="1:31" x14ac:dyDescent="0.25">
      <c r="A113" t="s">
        <v>102</v>
      </c>
      <c r="B113" t="s">
        <v>51</v>
      </c>
      <c r="C113" t="s">
        <v>84</v>
      </c>
      <c r="D113">
        <v>2025</v>
      </c>
      <c r="E113">
        <v>8</v>
      </c>
      <c r="F113" s="1">
        <v>45870</v>
      </c>
      <c r="G113">
        <v>13343</v>
      </c>
      <c r="H113">
        <v>84372</v>
      </c>
      <c r="I113">
        <v>11674</v>
      </c>
      <c r="J113">
        <v>0.27</v>
      </c>
      <c r="K113">
        <v>46.4</v>
      </c>
      <c r="L113">
        <v>34.6</v>
      </c>
      <c r="M113">
        <v>39.6</v>
      </c>
      <c r="N113">
        <v>31.7</v>
      </c>
      <c r="O113">
        <v>23.8</v>
      </c>
      <c r="P113">
        <v>35.299999999999997</v>
      </c>
      <c r="Q113">
        <v>27.5</v>
      </c>
      <c r="R113">
        <v>23.1</v>
      </c>
      <c r="S113">
        <v>11.4</v>
      </c>
      <c r="T113">
        <v>2.7</v>
      </c>
      <c r="U113">
        <v>17.100000000000001</v>
      </c>
      <c r="V113">
        <v>31.9</v>
      </c>
      <c r="W113">
        <v>28.9</v>
      </c>
      <c r="X113">
        <v>22.2</v>
      </c>
      <c r="Y113">
        <v>42</v>
      </c>
      <c r="Z113">
        <v>58</v>
      </c>
      <c r="AA113">
        <v>70.2</v>
      </c>
      <c r="AB113">
        <v>22.1</v>
      </c>
      <c r="AC113">
        <v>31.7</v>
      </c>
      <c r="AD113">
        <v>4.4000000000000004</v>
      </c>
      <c r="AE113">
        <v>0.38</v>
      </c>
    </row>
    <row r="114" spans="1:31" x14ac:dyDescent="0.25">
      <c r="A114" t="s">
        <v>102</v>
      </c>
      <c r="B114" t="s">
        <v>51</v>
      </c>
      <c r="C114" t="s">
        <v>84</v>
      </c>
      <c r="D114">
        <v>2025</v>
      </c>
      <c r="E114">
        <v>9</v>
      </c>
      <c r="F114" s="1">
        <v>45901</v>
      </c>
      <c r="G114">
        <v>13955</v>
      </c>
      <c r="H114">
        <v>98327</v>
      </c>
      <c r="I114">
        <v>11778</v>
      </c>
      <c r="J114">
        <v>0.28999999999999998</v>
      </c>
      <c r="K114">
        <v>45.3</v>
      </c>
      <c r="L114">
        <v>34.799999999999997</v>
      </c>
      <c r="M114">
        <v>40</v>
      </c>
      <c r="N114">
        <v>31.9</v>
      </c>
      <c r="O114">
        <v>25.3</v>
      </c>
      <c r="P114">
        <v>31.4</v>
      </c>
      <c r="Q114">
        <v>28.6</v>
      </c>
      <c r="R114">
        <v>22.1</v>
      </c>
      <c r="S114">
        <v>12.8</v>
      </c>
      <c r="T114">
        <v>5</v>
      </c>
      <c r="U114">
        <v>19.399999999999999</v>
      </c>
      <c r="V114">
        <v>30.5</v>
      </c>
      <c r="W114">
        <v>28</v>
      </c>
      <c r="X114">
        <v>22.1</v>
      </c>
      <c r="Y114">
        <v>40.6</v>
      </c>
      <c r="Z114">
        <v>59.4</v>
      </c>
      <c r="AA114">
        <v>73.3</v>
      </c>
      <c r="AB114">
        <v>30.4</v>
      </c>
      <c r="AC114">
        <v>22</v>
      </c>
      <c r="AD114">
        <v>3.8</v>
      </c>
      <c r="AE114">
        <v>0.32</v>
      </c>
    </row>
    <row r="115" spans="1:31" x14ac:dyDescent="0.25">
      <c r="A115" t="s">
        <v>102</v>
      </c>
      <c r="B115" t="s">
        <v>51</v>
      </c>
      <c r="C115" t="s">
        <v>84</v>
      </c>
      <c r="D115">
        <v>2025</v>
      </c>
      <c r="E115">
        <v>10</v>
      </c>
      <c r="F115" s="1">
        <v>45931</v>
      </c>
      <c r="G115">
        <v>13792</v>
      </c>
      <c r="H115">
        <v>112119</v>
      </c>
      <c r="I115">
        <v>12076</v>
      </c>
      <c r="J115">
        <v>0.24</v>
      </c>
      <c r="K115">
        <v>44.7</v>
      </c>
      <c r="L115">
        <v>35.299999999999997</v>
      </c>
      <c r="M115">
        <v>39.299999999999997</v>
      </c>
      <c r="N115">
        <v>29.7</v>
      </c>
      <c r="O115">
        <v>25.2</v>
      </c>
      <c r="P115">
        <v>30.8</v>
      </c>
      <c r="Q115">
        <v>30.7</v>
      </c>
      <c r="R115">
        <v>20</v>
      </c>
      <c r="S115">
        <v>13.5</v>
      </c>
      <c r="T115">
        <v>5</v>
      </c>
      <c r="U115">
        <v>16.2</v>
      </c>
      <c r="V115">
        <v>33.299999999999997</v>
      </c>
      <c r="W115">
        <v>26.3</v>
      </c>
      <c r="X115">
        <v>24.2</v>
      </c>
      <c r="Y115">
        <v>42.6</v>
      </c>
      <c r="Z115">
        <v>57.4</v>
      </c>
      <c r="AA115">
        <v>74.400000000000006</v>
      </c>
      <c r="AB115">
        <v>25.1</v>
      </c>
      <c r="AC115">
        <v>22.7</v>
      </c>
      <c r="AD115">
        <v>4</v>
      </c>
      <c r="AE115">
        <v>0.39</v>
      </c>
    </row>
    <row r="116" spans="1:31" x14ac:dyDescent="0.25">
      <c r="A116" t="s">
        <v>102</v>
      </c>
      <c r="B116" t="s">
        <v>51</v>
      </c>
      <c r="C116" t="s">
        <v>84</v>
      </c>
      <c r="D116">
        <v>2025</v>
      </c>
      <c r="E116">
        <v>11</v>
      </c>
      <c r="F116" s="1">
        <v>45962</v>
      </c>
      <c r="G116">
        <v>12540</v>
      </c>
      <c r="H116">
        <v>124659</v>
      </c>
      <c r="I116">
        <v>10441</v>
      </c>
      <c r="J116">
        <v>0.28999999999999998</v>
      </c>
      <c r="K116">
        <v>44.7</v>
      </c>
      <c r="L116">
        <v>34.5</v>
      </c>
      <c r="M116">
        <v>39.200000000000003</v>
      </c>
      <c r="N116">
        <v>31.5</v>
      </c>
      <c r="O116">
        <v>25.4</v>
      </c>
      <c r="P116">
        <v>33.700000000000003</v>
      </c>
      <c r="Q116">
        <v>31.9</v>
      </c>
      <c r="R116">
        <v>20.2</v>
      </c>
      <c r="S116">
        <v>9.1999999999999993</v>
      </c>
      <c r="T116">
        <v>5</v>
      </c>
      <c r="U116">
        <v>16.399999999999999</v>
      </c>
      <c r="V116">
        <v>34.200000000000003</v>
      </c>
      <c r="W116">
        <v>27</v>
      </c>
      <c r="X116">
        <v>22.5</v>
      </c>
      <c r="Y116">
        <v>43.8</v>
      </c>
      <c r="Z116">
        <v>56.2</v>
      </c>
      <c r="AA116">
        <v>75.099999999999994</v>
      </c>
      <c r="AB116">
        <v>34.5</v>
      </c>
      <c r="AC116">
        <v>23.6</v>
      </c>
      <c r="AD116">
        <v>4.5999999999999996</v>
      </c>
      <c r="AE116">
        <v>0.37</v>
      </c>
    </row>
    <row r="117" spans="1:31" x14ac:dyDescent="0.25">
      <c r="A117" t="s">
        <v>102</v>
      </c>
      <c r="B117" t="s">
        <v>51</v>
      </c>
      <c r="C117" t="s">
        <v>84</v>
      </c>
      <c r="D117">
        <v>2025</v>
      </c>
      <c r="E117">
        <v>12</v>
      </c>
      <c r="F117" s="1">
        <v>45992</v>
      </c>
      <c r="G117">
        <v>14565</v>
      </c>
      <c r="H117">
        <v>139224</v>
      </c>
      <c r="I117">
        <v>12290</v>
      </c>
      <c r="J117">
        <v>0.2</v>
      </c>
      <c r="K117">
        <v>46.7</v>
      </c>
      <c r="L117">
        <v>34.299999999999997</v>
      </c>
      <c r="M117">
        <v>39.1</v>
      </c>
      <c r="N117">
        <v>30.5</v>
      </c>
      <c r="O117">
        <v>27.7</v>
      </c>
      <c r="P117">
        <v>32.5</v>
      </c>
      <c r="Q117">
        <v>30.3</v>
      </c>
      <c r="R117">
        <v>21</v>
      </c>
      <c r="S117">
        <v>11.1</v>
      </c>
      <c r="T117">
        <v>5</v>
      </c>
      <c r="U117">
        <v>16</v>
      </c>
      <c r="V117">
        <v>33.4</v>
      </c>
      <c r="W117">
        <v>30.3</v>
      </c>
      <c r="X117">
        <v>20.399999999999999</v>
      </c>
      <c r="Y117">
        <v>41.2</v>
      </c>
      <c r="Z117">
        <v>58.8</v>
      </c>
      <c r="AA117">
        <v>73.5</v>
      </c>
      <c r="AB117">
        <v>33.5</v>
      </c>
      <c r="AC117">
        <v>26.7</v>
      </c>
      <c r="AD117">
        <v>4.7</v>
      </c>
      <c r="AE117">
        <v>0.4</v>
      </c>
    </row>
    <row r="118" spans="1:31" x14ac:dyDescent="0.25">
      <c r="A118" t="s">
        <v>102</v>
      </c>
      <c r="B118" t="s">
        <v>51</v>
      </c>
      <c r="C118" t="s">
        <v>84</v>
      </c>
      <c r="D118">
        <v>2026</v>
      </c>
      <c r="E118">
        <v>1</v>
      </c>
      <c r="F118" s="1">
        <v>46023</v>
      </c>
      <c r="G118">
        <v>13788</v>
      </c>
      <c r="H118">
        <v>153012</v>
      </c>
      <c r="I118">
        <v>11480</v>
      </c>
      <c r="J118">
        <v>0.28999999999999998</v>
      </c>
      <c r="K118">
        <v>45.3</v>
      </c>
      <c r="L118">
        <v>34.799999999999997</v>
      </c>
      <c r="M118">
        <v>38.700000000000003</v>
      </c>
      <c r="N118">
        <v>34.4</v>
      </c>
      <c r="O118">
        <v>26.8</v>
      </c>
      <c r="P118">
        <v>31.2</v>
      </c>
      <c r="Q118">
        <v>31.3</v>
      </c>
      <c r="R118">
        <v>20.100000000000001</v>
      </c>
      <c r="S118">
        <v>12.5</v>
      </c>
      <c r="T118">
        <v>5</v>
      </c>
      <c r="U118">
        <v>15.4</v>
      </c>
      <c r="V118">
        <v>33.799999999999997</v>
      </c>
      <c r="W118">
        <v>29.7</v>
      </c>
      <c r="X118">
        <v>21.1</v>
      </c>
      <c r="Y118">
        <v>41.3</v>
      </c>
      <c r="Z118">
        <v>58.7</v>
      </c>
      <c r="AA118">
        <v>69</v>
      </c>
      <c r="AB118">
        <v>30.5</v>
      </c>
      <c r="AC118">
        <v>30.2</v>
      </c>
      <c r="AD118">
        <v>4.7</v>
      </c>
      <c r="AE118">
        <v>0.33</v>
      </c>
    </row>
    <row r="119" spans="1:31" x14ac:dyDescent="0.25">
      <c r="A119" t="s">
        <v>105</v>
      </c>
      <c r="B119" t="s">
        <v>106</v>
      </c>
      <c r="C119" t="s">
        <v>106</v>
      </c>
      <c r="D119">
        <v>2025</v>
      </c>
      <c r="E119">
        <v>1</v>
      </c>
      <c r="F119" s="1">
        <v>45658</v>
      </c>
      <c r="G119">
        <v>19263</v>
      </c>
      <c r="H119">
        <v>19263</v>
      </c>
      <c r="I119">
        <v>15811</v>
      </c>
      <c r="J119">
        <v>0.19</v>
      </c>
      <c r="K119">
        <v>45.3</v>
      </c>
      <c r="L119">
        <v>31.2</v>
      </c>
      <c r="M119">
        <v>44.5</v>
      </c>
      <c r="N119">
        <v>34.4</v>
      </c>
      <c r="O119">
        <v>27.4</v>
      </c>
      <c r="P119">
        <v>31.6</v>
      </c>
      <c r="Q119">
        <v>28.8</v>
      </c>
      <c r="R119">
        <v>23.9</v>
      </c>
      <c r="S119">
        <v>10.7</v>
      </c>
      <c r="T119">
        <v>5</v>
      </c>
      <c r="U119">
        <v>19.5</v>
      </c>
      <c r="V119">
        <v>32.4</v>
      </c>
      <c r="W119">
        <v>26.7</v>
      </c>
      <c r="X119">
        <v>21.3</v>
      </c>
      <c r="Y119">
        <v>44.3</v>
      </c>
      <c r="Z119">
        <v>55.7</v>
      </c>
      <c r="AA119">
        <v>72.2</v>
      </c>
      <c r="AB119">
        <v>31.8</v>
      </c>
      <c r="AC119">
        <v>30.8</v>
      </c>
      <c r="AD119">
        <v>4</v>
      </c>
      <c r="AE119">
        <v>0.3</v>
      </c>
    </row>
    <row r="120" spans="1:31" x14ac:dyDescent="0.25">
      <c r="A120" t="s">
        <v>105</v>
      </c>
      <c r="B120" t="s">
        <v>106</v>
      </c>
      <c r="C120" t="s">
        <v>106</v>
      </c>
      <c r="D120">
        <v>2025</v>
      </c>
      <c r="E120">
        <v>2</v>
      </c>
      <c r="F120" s="1">
        <v>45689</v>
      </c>
      <c r="G120">
        <v>20099</v>
      </c>
      <c r="H120">
        <v>39362</v>
      </c>
      <c r="I120">
        <v>16743</v>
      </c>
      <c r="J120">
        <v>0.27</v>
      </c>
      <c r="K120">
        <v>46.4</v>
      </c>
      <c r="L120">
        <v>29.6</v>
      </c>
      <c r="M120">
        <v>45.9</v>
      </c>
      <c r="N120">
        <v>33.799999999999997</v>
      </c>
      <c r="O120">
        <v>29.8</v>
      </c>
      <c r="P120">
        <v>31.7</v>
      </c>
      <c r="Q120">
        <v>30.7</v>
      </c>
      <c r="R120">
        <v>23</v>
      </c>
      <c r="S120">
        <v>9.6</v>
      </c>
      <c r="T120">
        <v>5</v>
      </c>
      <c r="U120">
        <v>14</v>
      </c>
      <c r="V120">
        <v>34.299999999999997</v>
      </c>
      <c r="W120">
        <v>27.8</v>
      </c>
      <c r="X120">
        <v>23.9</v>
      </c>
      <c r="Y120">
        <v>41.5</v>
      </c>
      <c r="Z120">
        <v>58.5</v>
      </c>
      <c r="AA120">
        <v>72.3</v>
      </c>
      <c r="AB120">
        <v>33.9</v>
      </c>
      <c r="AC120">
        <v>31.5</v>
      </c>
      <c r="AD120">
        <v>4.0999999999999996</v>
      </c>
      <c r="AE120">
        <v>0.36</v>
      </c>
    </row>
    <row r="121" spans="1:31" x14ac:dyDescent="0.25">
      <c r="A121" t="s">
        <v>105</v>
      </c>
      <c r="B121" t="s">
        <v>106</v>
      </c>
      <c r="C121" t="s">
        <v>106</v>
      </c>
      <c r="D121">
        <v>2025</v>
      </c>
      <c r="E121">
        <v>3</v>
      </c>
      <c r="F121" s="1">
        <v>45717</v>
      </c>
      <c r="G121">
        <v>21953</v>
      </c>
      <c r="H121">
        <v>61315</v>
      </c>
      <c r="I121">
        <v>18317</v>
      </c>
      <c r="J121">
        <v>0.19</v>
      </c>
      <c r="K121">
        <v>45.4</v>
      </c>
      <c r="L121">
        <v>31.9</v>
      </c>
      <c r="M121">
        <v>47</v>
      </c>
      <c r="N121">
        <v>34.6</v>
      </c>
      <c r="O121">
        <v>29.6</v>
      </c>
      <c r="P121">
        <v>34.5</v>
      </c>
      <c r="Q121">
        <v>28.7</v>
      </c>
      <c r="R121">
        <v>19.600000000000001</v>
      </c>
      <c r="S121">
        <v>12.2</v>
      </c>
      <c r="T121">
        <v>5</v>
      </c>
      <c r="U121">
        <v>14.8</v>
      </c>
      <c r="V121">
        <v>33.5</v>
      </c>
      <c r="W121">
        <v>29.5</v>
      </c>
      <c r="X121">
        <v>22.3</v>
      </c>
      <c r="Y121">
        <v>44.2</v>
      </c>
      <c r="Z121">
        <v>55.8</v>
      </c>
      <c r="AA121">
        <v>75</v>
      </c>
      <c r="AB121">
        <v>29</v>
      </c>
      <c r="AC121">
        <v>28.8</v>
      </c>
      <c r="AD121">
        <v>4.0999999999999996</v>
      </c>
      <c r="AE121">
        <v>0.36</v>
      </c>
    </row>
    <row r="122" spans="1:31" x14ac:dyDescent="0.25">
      <c r="A122" t="s">
        <v>105</v>
      </c>
      <c r="B122" t="s">
        <v>106</v>
      </c>
      <c r="C122" t="s">
        <v>106</v>
      </c>
      <c r="D122">
        <v>2025</v>
      </c>
      <c r="E122">
        <v>4</v>
      </c>
      <c r="F122" s="1">
        <v>45748</v>
      </c>
      <c r="G122">
        <v>23602</v>
      </c>
      <c r="H122">
        <v>84917</v>
      </c>
      <c r="I122">
        <v>19631</v>
      </c>
      <c r="J122">
        <v>0.2</v>
      </c>
      <c r="K122">
        <v>47.4</v>
      </c>
      <c r="L122">
        <v>29.4</v>
      </c>
      <c r="M122">
        <v>45.6</v>
      </c>
      <c r="N122">
        <v>35.299999999999997</v>
      </c>
      <c r="O122">
        <v>28.2</v>
      </c>
      <c r="P122">
        <v>33.1</v>
      </c>
      <c r="Q122">
        <v>31</v>
      </c>
      <c r="R122">
        <v>20.399999999999999</v>
      </c>
      <c r="S122">
        <v>10.5</v>
      </c>
      <c r="T122">
        <v>5</v>
      </c>
      <c r="U122">
        <v>17.7</v>
      </c>
      <c r="V122">
        <v>35.4</v>
      </c>
      <c r="W122">
        <v>30</v>
      </c>
      <c r="X122">
        <v>16.899999999999999</v>
      </c>
      <c r="Y122">
        <v>43.5</v>
      </c>
      <c r="Z122">
        <v>56.5</v>
      </c>
      <c r="AA122">
        <v>70.900000000000006</v>
      </c>
      <c r="AB122">
        <v>31</v>
      </c>
      <c r="AC122">
        <v>25.6</v>
      </c>
      <c r="AD122">
        <v>4.7</v>
      </c>
      <c r="AE122">
        <v>0.3</v>
      </c>
    </row>
    <row r="123" spans="1:31" x14ac:dyDescent="0.25">
      <c r="A123" t="s">
        <v>105</v>
      </c>
      <c r="B123" t="s">
        <v>106</v>
      </c>
      <c r="C123" t="s">
        <v>106</v>
      </c>
      <c r="D123">
        <v>2025</v>
      </c>
      <c r="E123">
        <v>5</v>
      </c>
      <c r="F123" s="1">
        <v>45778</v>
      </c>
      <c r="G123">
        <v>22849</v>
      </c>
      <c r="H123">
        <v>107766</v>
      </c>
      <c r="I123">
        <v>18814</v>
      </c>
      <c r="J123">
        <v>0.28999999999999998</v>
      </c>
      <c r="K123">
        <v>46.6</v>
      </c>
      <c r="L123">
        <v>29.4</v>
      </c>
      <c r="M123">
        <v>45</v>
      </c>
      <c r="N123">
        <v>36.4</v>
      </c>
      <c r="O123">
        <v>30.1</v>
      </c>
      <c r="P123">
        <v>32.299999999999997</v>
      </c>
      <c r="Q123">
        <v>30.2</v>
      </c>
      <c r="R123">
        <v>20.2</v>
      </c>
      <c r="S123">
        <v>12.3</v>
      </c>
      <c r="T123">
        <v>5</v>
      </c>
      <c r="U123">
        <v>20</v>
      </c>
      <c r="V123">
        <v>32.700000000000003</v>
      </c>
      <c r="W123">
        <v>27.8</v>
      </c>
      <c r="X123">
        <v>19.5</v>
      </c>
      <c r="Y123">
        <v>42.4</v>
      </c>
      <c r="Z123">
        <v>57.6</v>
      </c>
      <c r="AA123">
        <v>75.099999999999994</v>
      </c>
      <c r="AB123">
        <v>27.8</v>
      </c>
      <c r="AC123">
        <v>24.6</v>
      </c>
      <c r="AD123">
        <v>4.5999999999999996</v>
      </c>
      <c r="AE123">
        <v>0.39</v>
      </c>
    </row>
    <row r="124" spans="1:31" x14ac:dyDescent="0.25">
      <c r="A124" t="s">
        <v>105</v>
      </c>
      <c r="B124" t="s">
        <v>106</v>
      </c>
      <c r="C124" t="s">
        <v>106</v>
      </c>
      <c r="D124">
        <v>2025</v>
      </c>
      <c r="E124">
        <v>6</v>
      </c>
      <c r="F124" s="1">
        <v>45809</v>
      </c>
      <c r="G124">
        <v>25324</v>
      </c>
      <c r="H124">
        <v>133090</v>
      </c>
      <c r="I124">
        <v>22216</v>
      </c>
      <c r="J124">
        <v>0.2</v>
      </c>
      <c r="K124">
        <v>45.9</v>
      </c>
      <c r="L124">
        <v>32.700000000000003</v>
      </c>
      <c r="M124">
        <v>45.2</v>
      </c>
      <c r="N124">
        <v>35.1</v>
      </c>
      <c r="O124">
        <v>29.2</v>
      </c>
      <c r="P124">
        <v>32.6</v>
      </c>
      <c r="Q124">
        <v>28.1</v>
      </c>
      <c r="R124">
        <v>22.8</v>
      </c>
      <c r="S124">
        <v>11.7</v>
      </c>
      <c r="T124">
        <v>4.8</v>
      </c>
      <c r="U124">
        <v>14.5</v>
      </c>
      <c r="V124">
        <v>33.4</v>
      </c>
      <c r="W124">
        <v>30.5</v>
      </c>
      <c r="X124">
        <v>21.6</v>
      </c>
      <c r="Y124">
        <v>42.4</v>
      </c>
      <c r="Z124">
        <v>57.6</v>
      </c>
      <c r="AA124">
        <v>69.099999999999994</v>
      </c>
      <c r="AB124">
        <v>24.1</v>
      </c>
      <c r="AC124">
        <v>25.2</v>
      </c>
      <c r="AD124">
        <v>4.3</v>
      </c>
      <c r="AE124">
        <v>0.38</v>
      </c>
    </row>
    <row r="125" spans="1:31" x14ac:dyDescent="0.25">
      <c r="A125" t="s">
        <v>105</v>
      </c>
      <c r="B125" t="s">
        <v>106</v>
      </c>
      <c r="C125" t="s">
        <v>106</v>
      </c>
      <c r="D125">
        <v>2025</v>
      </c>
      <c r="E125">
        <v>7</v>
      </c>
      <c r="F125" s="1">
        <v>45839</v>
      </c>
      <c r="G125">
        <v>24185</v>
      </c>
      <c r="H125">
        <v>157275</v>
      </c>
      <c r="I125">
        <v>20523</v>
      </c>
      <c r="J125">
        <v>0.27</v>
      </c>
      <c r="K125">
        <v>47</v>
      </c>
      <c r="L125">
        <v>32.9</v>
      </c>
      <c r="M125">
        <v>47.5</v>
      </c>
      <c r="N125">
        <v>34.5</v>
      </c>
      <c r="O125">
        <v>32.6</v>
      </c>
      <c r="P125">
        <v>33</v>
      </c>
      <c r="Q125">
        <v>28.6</v>
      </c>
      <c r="R125">
        <v>22.6</v>
      </c>
      <c r="S125">
        <v>13.8</v>
      </c>
      <c r="T125">
        <v>2</v>
      </c>
      <c r="U125">
        <v>14.1</v>
      </c>
      <c r="V125">
        <v>35.9</v>
      </c>
      <c r="W125">
        <v>26.4</v>
      </c>
      <c r="X125">
        <v>23.5</v>
      </c>
      <c r="Y125">
        <v>44.9</v>
      </c>
      <c r="Z125">
        <v>55.1</v>
      </c>
      <c r="AA125">
        <v>69.099999999999994</v>
      </c>
      <c r="AB125">
        <v>28.2</v>
      </c>
      <c r="AC125">
        <v>27.7</v>
      </c>
      <c r="AD125">
        <v>4.0999999999999996</v>
      </c>
      <c r="AE125">
        <v>0.32</v>
      </c>
    </row>
    <row r="126" spans="1:31" x14ac:dyDescent="0.25">
      <c r="A126" t="s">
        <v>105</v>
      </c>
      <c r="B126" t="s">
        <v>106</v>
      </c>
      <c r="C126" t="s">
        <v>106</v>
      </c>
      <c r="D126">
        <v>2025</v>
      </c>
      <c r="E126">
        <v>8</v>
      </c>
      <c r="F126" s="1">
        <v>45870</v>
      </c>
      <c r="G126">
        <v>26870</v>
      </c>
      <c r="H126">
        <v>184145</v>
      </c>
      <c r="I126">
        <v>22111</v>
      </c>
      <c r="J126">
        <v>0.28999999999999998</v>
      </c>
      <c r="K126">
        <v>47</v>
      </c>
      <c r="L126">
        <v>30.1</v>
      </c>
      <c r="M126">
        <v>47</v>
      </c>
      <c r="N126">
        <v>36.5</v>
      </c>
      <c r="O126">
        <v>32.799999999999997</v>
      </c>
      <c r="P126">
        <v>34.700000000000003</v>
      </c>
      <c r="Q126">
        <v>30.7</v>
      </c>
      <c r="R126">
        <v>20.399999999999999</v>
      </c>
      <c r="S126">
        <v>9.3000000000000007</v>
      </c>
      <c r="T126">
        <v>5</v>
      </c>
      <c r="U126">
        <v>17.600000000000001</v>
      </c>
      <c r="V126">
        <v>34.6</v>
      </c>
      <c r="W126">
        <v>28.6</v>
      </c>
      <c r="X126">
        <v>19.2</v>
      </c>
      <c r="Y126">
        <v>41.4</v>
      </c>
      <c r="Z126">
        <v>58.6</v>
      </c>
      <c r="AA126">
        <v>68.599999999999994</v>
      </c>
      <c r="AB126">
        <v>28.2</v>
      </c>
      <c r="AC126">
        <v>22</v>
      </c>
      <c r="AD126">
        <v>4.0999999999999996</v>
      </c>
      <c r="AE126">
        <v>0.35</v>
      </c>
    </row>
    <row r="127" spans="1:31" x14ac:dyDescent="0.25">
      <c r="A127" t="s">
        <v>105</v>
      </c>
      <c r="B127" t="s">
        <v>106</v>
      </c>
      <c r="C127" t="s">
        <v>106</v>
      </c>
      <c r="D127">
        <v>2025</v>
      </c>
      <c r="E127">
        <v>9</v>
      </c>
      <c r="F127" s="1">
        <v>45901</v>
      </c>
      <c r="G127">
        <v>28235</v>
      </c>
      <c r="H127">
        <v>212380</v>
      </c>
      <c r="I127">
        <v>23801</v>
      </c>
      <c r="J127">
        <v>0.3</v>
      </c>
      <c r="K127">
        <v>44.9</v>
      </c>
      <c r="L127">
        <v>31.4</v>
      </c>
      <c r="M127">
        <v>44.3</v>
      </c>
      <c r="N127">
        <v>36.9</v>
      </c>
      <c r="O127">
        <v>32.200000000000003</v>
      </c>
      <c r="P127">
        <v>33.200000000000003</v>
      </c>
      <c r="Q127">
        <v>26.3</v>
      </c>
      <c r="R127">
        <v>23.7</v>
      </c>
      <c r="S127">
        <v>13.2</v>
      </c>
      <c r="T127">
        <v>3.7</v>
      </c>
      <c r="U127">
        <v>15.8</v>
      </c>
      <c r="V127">
        <v>30.5</v>
      </c>
      <c r="W127">
        <v>26.8</v>
      </c>
      <c r="X127">
        <v>26.9</v>
      </c>
      <c r="Y127">
        <v>40.799999999999997</v>
      </c>
      <c r="Z127">
        <v>59.2</v>
      </c>
      <c r="AA127">
        <v>72.099999999999994</v>
      </c>
      <c r="AB127">
        <v>25.4</v>
      </c>
      <c r="AC127">
        <v>24.3</v>
      </c>
      <c r="AD127">
        <v>4.0999999999999996</v>
      </c>
      <c r="AE127">
        <v>0.36</v>
      </c>
    </row>
    <row r="128" spans="1:31" x14ac:dyDescent="0.25">
      <c r="A128" t="s">
        <v>105</v>
      </c>
      <c r="B128" t="s">
        <v>106</v>
      </c>
      <c r="C128" t="s">
        <v>106</v>
      </c>
      <c r="D128">
        <v>2025</v>
      </c>
      <c r="E128">
        <v>10</v>
      </c>
      <c r="F128" s="1">
        <v>45931</v>
      </c>
      <c r="G128">
        <v>26394</v>
      </c>
      <c r="H128">
        <v>238774</v>
      </c>
      <c r="I128">
        <v>21649</v>
      </c>
      <c r="J128">
        <v>0.27</v>
      </c>
      <c r="K128">
        <v>46.4</v>
      </c>
      <c r="L128">
        <v>30.1</v>
      </c>
      <c r="M128">
        <v>45.8</v>
      </c>
      <c r="N128">
        <v>35</v>
      </c>
      <c r="O128">
        <v>31.6</v>
      </c>
      <c r="P128">
        <v>30.4</v>
      </c>
      <c r="Q128">
        <v>28.3</v>
      </c>
      <c r="R128">
        <v>24</v>
      </c>
      <c r="S128">
        <v>12.4</v>
      </c>
      <c r="T128">
        <v>5</v>
      </c>
      <c r="U128">
        <v>17.3</v>
      </c>
      <c r="V128">
        <v>32.9</v>
      </c>
      <c r="W128">
        <v>30.6</v>
      </c>
      <c r="X128">
        <v>19.3</v>
      </c>
      <c r="Y128">
        <v>40.4</v>
      </c>
      <c r="Z128">
        <v>59.6</v>
      </c>
      <c r="AA128">
        <v>70.8</v>
      </c>
      <c r="AB128">
        <v>33</v>
      </c>
      <c r="AC128">
        <v>31.9</v>
      </c>
      <c r="AD128">
        <v>4.0999999999999996</v>
      </c>
      <c r="AE128">
        <v>0.34</v>
      </c>
    </row>
    <row r="129" spans="1:31" x14ac:dyDescent="0.25">
      <c r="A129" t="s">
        <v>105</v>
      </c>
      <c r="B129" t="s">
        <v>106</v>
      </c>
      <c r="C129" t="s">
        <v>106</v>
      </c>
      <c r="D129">
        <v>2025</v>
      </c>
      <c r="E129">
        <v>11</v>
      </c>
      <c r="F129" s="1">
        <v>45962</v>
      </c>
      <c r="G129">
        <v>31440</v>
      </c>
      <c r="H129">
        <v>270214</v>
      </c>
      <c r="I129">
        <v>26122</v>
      </c>
      <c r="J129">
        <v>0.28999999999999998</v>
      </c>
      <c r="K129">
        <v>45.5</v>
      </c>
      <c r="L129">
        <v>31.3</v>
      </c>
      <c r="M129">
        <v>46.6</v>
      </c>
      <c r="N129">
        <v>38.5</v>
      </c>
      <c r="O129">
        <v>33.9</v>
      </c>
      <c r="P129">
        <v>36</v>
      </c>
      <c r="Q129">
        <v>26.8</v>
      </c>
      <c r="R129">
        <v>22.1</v>
      </c>
      <c r="S129">
        <v>11</v>
      </c>
      <c r="T129">
        <v>4.2</v>
      </c>
      <c r="U129">
        <v>14.8</v>
      </c>
      <c r="V129">
        <v>31</v>
      </c>
      <c r="W129">
        <v>30.7</v>
      </c>
      <c r="X129">
        <v>23.5</v>
      </c>
      <c r="Y129">
        <v>45.3</v>
      </c>
      <c r="Z129">
        <v>54.7</v>
      </c>
      <c r="AA129">
        <v>75.900000000000006</v>
      </c>
      <c r="AB129">
        <v>24.9</v>
      </c>
      <c r="AC129">
        <v>24.3</v>
      </c>
      <c r="AD129">
        <v>4.3</v>
      </c>
      <c r="AE129">
        <v>0.36</v>
      </c>
    </row>
    <row r="130" spans="1:31" x14ac:dyDescent="0.25">
      <c r="A130" t="s">
        <v>105</v>
      </c>
      <c r="B130" t="s">
        <v>106</v>
      </c>
      <c r="C130" t="s">
        <v>106</v>
      </c>
      <c r="D130">
        <v>2025</v>
      </c>
      <c r="E130">
        <v>12</v>
      </c>
      <c r="F130" s="1">
        <v>45992</v>
      </c>
      <c r="G130">
        <v>28469</v>
      </c>
      <c r="H130">
        <v>298683</v>
      </c>
      <c r="I130">
        <v>24150</v>
      </c>
      <c r="J130">
        <v>0.26</v>
      </c>
      <c r="K130">
        <v>46.2</v>
      </c>
      <c r="L130">
        <v>31.2</v>
      </c>
      <c r="M130">
        <v>44.6</v>
      </c>
      <c r="N130">
        <v>36.9</v>
      </c>
      <c r="O130">
        <v>34.200000000000003</v>
      </c>
      <c r="P130">
        <v>31.4</v>
      </c>
      <c r="Q130">
        <v>29.3</v>
      </c>
      <c r="R130">
        <v>22.3</v>
      </c>
      <c r="S130">
        <v>12</v>
      </c>
      <c r="T130">
        <v>5</v>
      </c>
      <c r="U130">
        <v>17.100000000000001</v>
      </c>
      <c r="V130">
        <v>31.7</v>
      </c>
      <c r="W130">
        <v>26</v>
      </c>
      <c r="X130">
        <v>25.2</v>
      </c>
      <c r="Y130">
        <v>43</v>
      </c>
      <c r="Z130">
        <v>57</v>
      </c>
      <c r="AA130">
        <v>73.900000000000006</v>
      </c>
      <c r="AB130">
        <v>22.3</v>
      </c>
      <c r="AC130">
        <v>27</v>
      </c>
      <c r="AD130">
        <v>4.4000000000000004</v>
      </c>
      <c r="AE130">
        <v>0.36</v>
      </c>
    </row>
    <row r="131" spans="1:31" x14ac:dyDescent="0.25">
      <c r="A131" t="s">
        <v>105</v>
      </c>
      <c r="B131" t="s">
        <v>106</v>
      </c>
      <c r="C131" t="s">
        <v>106</v>
      </c>
      <c r="D131">
        <v>2026</v>
      </c>
      <c r="E131">
        <v>1</v>
      </c>
      <c r="F131" s="1">
        <v>46023</v>
      </c>
      <c r="G131">
        <v>30534</v>
      </c>
      <c r="H131">
        <v>329217</v>
      </c>
      <c r="I131">
        <v>25993</v>
      </c>
      <c r="J131">
        <v>0.31</v>
      </c>
      <c r="K131">
        <v>45.1</v>
      </c>
      <c r="L131">
        <v>30</v>
      </c>
      <c r="M131">
        <v>46.9</v>
      </c>
      <c r="N131">
        <v>39.4</v>
      </c>
      <c r="O131">
        <v>33.9</v>
      </c>
      <c r="P131">
        <v>31.5</v>
      </c>
      <c r="Q131">
        <v>29</v>
      </c>
      <c r="R131">
        <v>22.5</v>
      </c>
      <c r="S131">
        <v>11.9</v>
      </c>
      <c r="T131">
        <v>5</v>
      </c>
      <c r="U131">
        <v>16.600000000000001</v>
      </c>
      <c r="V131">
        <v>33.700000000000003</v>
      </c>
      <c r="W131">
        <v>26.4</v>
      </c>
      <c r="X131">
        <v>23.3</v>
      </c>
      <c r="Y131">
        <v>40.5</v>
      </c>
      <c r="Z131">
        <v>59.5</v>
      </c>
      <c r="AA131">
        <v>72.099999999999994</v>
      </c>
      <c r="AB131">
        <v>25</v>
      </c>
      <c r="AC131">
        <v>23.4</v>
      </c>
      <c r="AD131">
        <v>4.4000000000000004</v>
      </c>
      <c r="AE131">
        <v>0.38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3BF0-CDEA-4D34-8584-5E52BCCEEDB7}">
  <dimension ref="A4:Q96"/>
  <sheetViews>
    <sheetView tabSelected="1" topLeftCell="A60" workbookViewId="0">
      <selection activeCell="B87" sqref="B87:F96"/>
    </sheetView>
  </sheetViews>
  <sheetFormatPr defaultRowHeight="15" x14ac:dyDescent="0.25"/>
  <cols>
    <col min="1" max="1" width="38.7109375" bestFit="1" customWidth="1"/>
    <col min="2" max="2" width="20.7109375" bestFit="1" customWidth="1"/>
    <col min="3" max="3" width="19.7109375" bestFit="1" customWidth="1"/>
    <col min="4" max="4" width="38" bestFit="1" customWidth="1"/>
    <col min="5" max="5" width="33" bestFit="1" customWidth="1"/>
    <col min="6" max="6" width="19.7109375" bestFit="1" customWidth="1"/>
    <col min="7" max="7" width="13.85546875" bestFit="1" customWidth="1"/>
    <col min="8" max="8" width="11.28515625" bestFit="1" customWidth="1"/>
    <col min="9" max="9" width="29.85546875" bestFit="1" customWidth="1"/>
    <col min="10" max="10" width="25" bestFit="1" customWidth="1"/>
    <col min="11" max="11" width="29.140625" bestFit="1" customWidth="1"/>
    <col min="12" max="12" width="35.42578125" bestFit="1" customWidth="1"/>
    <col min="13" max="13" width="29.28515625" bestFit="1" customWidth="1"/>
    <col min="14" max="14" width="30.5703125" bestFit="1" customWidth="1"/>
    <col min="15" max="15" width="35.42578125" bestFit="1" customWidth="1"/>
    <col min="16" max="16" width="13.85546875" bestFit="1" customWidth="1"/>
    <col min="17" max="17" width="31.28515625" bestFit="1" customWidth="1"/>
    <col min="18" max="41" width="35.42578125" bestFit="1" customWidth="1"/>
    <col min="42" max="42" width="40.42578125" bestFit="1" customWidth="1"/>
    <col min="43" max="44" width="36.28515625" bestFit="1" customWidth="1"/>
  </cols>
  <sheetData>
    <row r="4" spans="1:17" x14ac:dyDescent="0.25">
      <c r="A4" s="3" t="s">
        <v>109</v>
      </c>
      <c r="B4" t="s">
        <v>110</v>
      </c>
      <c r="D4" s="3" t="s">
        <v>109</v>
      </c>
      <c r="E4" t="s">
        <v>135</v>
      </c>
      <c r="G4" s="3" t="s">
        <v>109</v>
      </c>
      <c r="H4" t="s">
        <v>136</v>
      </c>
      <c r="J4" s="3" t="s">
        <v>109</v>
      </c>
      <c r="K4" t="s">
        <v>13</v>
      </c>
      <c r="M4" s="3" t="s">
        <v>109</v>
      </c>
      <c r="N4" t="s">
        <v>113</v>
      </c>
      <c r="P4" s="3" t="s">
        <v>109</v>
      </c>
      <c r="Q4" t="s">
        <v>112</v>
      </c>
    </row>
    <row r="5" spans="1:17" x14ac:dyDescent="0.25">
      <c r="A5" s="4" t="s">
        <v>51</v>
      </c>
      <c r="B5">
        <v>1689476</v>
      </c>
      <c r="D5" s="4" t="s">
        <v>51</v>
      </c>
      <c r="E5">
        <v>28.972115384615378</v>
      </c>
      <c r="G5" s="4" t="s">
        <v>51</v>
      </c>
      <c r="H5">
        <v>26.070192307692288</v>
      </c>
      <c r="J5" s="4" t="s">
        <v>51</v>
      </c>
      <c r="K5" s="5">
        <v>0.79644176550651369</v>
      </c>
      <c r="M5" s="4" t="s">
        <v>51</v>
      </c>
      <c r="N5">
        <v>1647.3999999999999</v>
      </c>
      <c r="P5" s="4" t="s">
        <v>51</v>
      </c>
      <c r="Q5">
        <v>36.76</v>
      </c>
    </row>
    <row r="6" spans="1:17" x14ac:dyDescent="0.25">
      <c r="A6" s="4" t="s">
        <v>106</v>
      </c>
      <c r="B6">
        <v>329217</v>
      </c>
      <c r="D6" s="4" t="s">
        <v>106</v>
      </c>
      <c r="E6">
        <v>28.046153846153842</v>
      </c>
      <c r="G6" s="4" t="s">
        <v>106</v>
      </c>
      <c r="H6">
        <v>26.699999999999996</v>
      </c>
      <c r="J6" s="4" t="s">
        <v>106</v>
      </c>
      <c r="K6" s="5">
        <v>0.11586622593816839</v>
      </c>
      <c r="M6" s="4" t="s">
        <v>106</v>
      </c>
      <c r="N6">
        <v>210.3</v>
      </c>
      <c r="P6" s="4" t="s">
        <v>106</v>
      </c>
      <c r="Q6">
        <v>4.5599999999999996</v>
      </c>
    </row>
    <row r="7" spans="1:17" x14ac:dyDescent="0.25">
      <c r="A7" s="4" t="s">
        <v>72</v>
      </c>
      <c r="B7">
        <v>266194</v>
      </c>
      <c r="D7" s="4" t="s">
        <v>72</v>
      </c>
      <c r="E7">
        <v>27.699999999999992</v>
      </c>
      <c r="G7" s="4" t="s">
        <v>72</v>
      </c>
      <c r="H7">
        <v>26.3923076923077</v>
      </c>
      <c r="J7" s="4" t="s">
        <v>72</v>
      </c>
      <c r="K7" s="5">
        <v>8.7692008555317918E-2</v>
      </c>
      <c r="M7" s="4" t="s">
        <v>72</v>
      </c>
      <c r="N7">
        <v>213.3</v>
      </c>
      <c r="P7" s="4" t="s">
        <v>72</v>
      </c>
      <c r="Q7">
        <v>4.5699999999999994</v>
      </c>
    </row>
    <row r="8" spans="1:17" x14ac:dyDescent="0.25">
      <c r="A8" s="4" t="s">
        <v>108</v>
      </c>
      <c r="B8">
        <v>2284887</v>
      </c>
      <c r="D8" s="4" t="s">
        <v>108</v>
      </c>
      <c r="E8">
        <v>28.752307692307689</v>
      </c>
      <c r="G8" s="4" t="s">
        <v>108</v>
      </c>
      <c r="H8">
        <v>26.165384615384607</v>
      </c>
      <c r="J8" s="4" t="s">
        <v>108</v>
      </c>
      <c r="K8" s="5">
        <v>1</v>
      </c>
      <c r="M8" s="4" t="s">
        <v>108</v>
      </c>
      <c r="N8">
        <v>2071</v>
      </c>
      <c r="P8" s="4" t="s">
        <v>108</v>
      </c>
      <c r="Q8">
        <v>45.89</v>
      </c>
    </row>
    <row r="11" spans="1:17" x14ac:dyDescent="0.25">
      <c r="A11" s="4" t="s">
        <v>114</v>
      </c>
    </row>
    <row r="12" spans="1:17" x14ac:dyDescent="0.25">
      <c r="A12" s="2" t="s">
        <v>110</v>
      </c>
      <c r="B12">
        <f>GETPIVOTDATA("monthly_analyses",$A$4)</f>
        <v>2284887</v>
      </c>
    </row>
    <row r="13" spans="1:17" x14ac:dyDescent="0.25">
      <c r="A13" s="2" t="s">
        <v>111</v>
      </c>
      <c r="B13">
        <f>GETPIVOTDATA("avg_cardiovascular_risk_score",$D$4)</f>
        <v>28.752307692307689</v>
      </c>
    </row>
    <row r="14" spans="1:17" x14ac:dyDescent="0.25">
      <c r="A14" s="2" t="s">
        <v>132</v>
      </c>
      <c r="B14">
        <f>GETPIVOTDATA("avg_metabolic_risk_score",$G$4)</f>
        <v>26.165384615384607</v>
      </c>
    </row>
    <row r="15" spans="1:17" x14ac:dyDescent="0.25">
      <c r="A15" s="2" t="s">
        <v>113</v>
      </c>
      <c r="B15">
        <f>GETPIVOTDATA("elevated_critical_risk",$M$4)</f>
        <v>2071</v>
      </c>
    </row>
    <row r="16" spans="1:17" x14ac:dyDescent="0.25">
      <c r="A16" s="2" t="s">
        <v>112</v>
      </c>
      <c r="B16">
        <f>GETPIVOTDATA("biomarker_abnormal_rate",$P$4)</f>
        <v>45.89</v>
      </c>
    </row>
    <row r="19" spans="1:14" x14ac:dyDescent="0.25">
      <c r="H19" s="3" t="s">
        <v>151</v>
      </c>
      <c r="I19" t="s">
        <v>138</v>
      </c>
      <c r="J19" t="s">
        <v>139</v>
      </c>
      <c r="L19" t="str" cm="1">
        <f t="array" ref="L19:N31">H19:J31</f>
        <v>Months</v>
      </c>
      <c r="M19" t="str">
        <v>Total Cardiovascular Risk Score</v>
      </c>
      <c r="N19" t="str">
        <v>Total Metabolic Risk Score</v>
      </c>
    </row>
    <row r="20" spans="1:14" x14ac:dyDescent="0.25">
      <c r="H20" s="4" t="s">
        <v>115</v>
      </c>
      <c r="I20">
        <v>579.29999999999995</v>
      </c>
      <c r="J20">
        <v>515.20000000000005</v>
      </c>
      <c r="L20" t="str">
        <v>Jan</v>
      </c>
      <c r="M20">
        <v>579.29999999999995</v>
      </c>
      <c r="N20">
        <v>515.20000000000005</v>
      </c>
    </row>
    <row r="21" spans="1:14" x14ac:dyDescent="0.25">
      <c r="H21" s="4" t="s">
        <v>116</v>
      </c>
      <c r="I21">
        <v>310.7</v>
      </c>
      <c r="J21">
        <v>272.2</v>
      </c>
      <c r="L21" t="str">
        <v>Feb</v>
      </c>
      <c r="M21">
        <v>310.7</v>
      </c>
      <c r="N21">
        <v>272.2</v>
      </c>
    </row>
    <row r="22" spans="1:14" x14ac:dyDescent="0.25">
      <c r="H22" s="4" t="s">
        <v>117</v>
      </c>
      <c r="I22">
        <v>295.89999999999998</v>
      </c>
      <c r="J22">
        <v>261.3</v>
      </c>
      <c r="L22" t="str">
        <v>Mar</v>
      </c>
      <c r="M22">
        <v>295.89999999999998</v>
      </c>
      <c r="N22">
        <v>261.3</v>
      </c>
    </row>
    <row r="23" spans="1:14" x14ac:dyDescent="0.25">
      <c r="H23" s="4" t="s">
        <v>118</v>
      </c>
      <c r="I23">
        <v>273.20000000000005</v>
      </c>
      <c r="J23">
        <v>269.5</v>
      </c>
      <c r="L23" t="str">
        <v>Apr</v>
      </c>
      <c r="M23">
        <v>273.20000000000005</v>
      </c>
      <c r="N23">
        <v>269.5</v>
      </c>
    </row>
    <row r="24" spans="1:14" x14ac:dyDescent="0.25">
      <c r="A24" t="s">
        <v>128</v>
      </c>
      <c r="H24" s="4" t="s">
        <v>119</v>
      </c>
      <c r="I24">
        <v>292.39999999999998</v>
      </c>
      <c r="J24">
        <v>243.79999999999998</v>
      </c>
      <c r="L24" t="str">
        <v>May</v>
      </c>
      <c r="M24">
        <v>292.39999999999998</v>
      </c>
      <c r="N24">
        <v>243.79999999999998</v>
      </c>
    </row>
    <row r="25" spans="1:14" x14ac:dyDescent="0.25">
      <c r="A25" s="3" t="s">
        <v>109</v>
      </c>
      <c r="B25" t="s">
        <v>111</v>
      </c>
      <c r="C25" t="s">
        <v>129</v>
      </c>
      <c r="D25" t="s">
        <v>130</v>
      </c>
      <c r="H25" s="4" t="s">
        <v>120</v>
      </c>
      <c r="I25">
        <v>273.7</v>
      </c>
      <c r="J25">
        <v>251.7</v>
      </c>
      <c r="L25" t="str">
        <v>Jun</v>
      </c>
      <c r="M25">
        <v>273.7</v>
      </c>
      <c r="N25">
        <v>251.7</v>
      </c>
    </row>
    <row r="26" spans="1:14" x14ac:dyDescent="0.25">
      <c r="A26" s="4" t="s">
        <v>51</v>
      </c>
      <c r="B26">
        <v>28.972115384615378</v>
      </c>
      <c r="C26">
        <v>26.070192307692288</v>
      </c>
      <c r="D26">
        <v>39.385576923076918</v>
      </c>
      <c r="H26" s="4" t="s">
        <v>121</v>
      </c>
      <c r="I26">
        <v>289.00000000000006</v>
      </c>
      <c r="J26">
        <v>265.3</v>
      </c>
      <c r="L26" t="str">
        <v>Jul</v>
      </c>
      <c r="M26">
        <v>289.00000000000006</v>
      </c>
      <c r="N26">
        <v>265.3</v>
      </c>
    </row>
    <row r="27" spans="1:14" x14ac:dyDescent="0.25">
      <c r="A27" s="4" t="s">
        <v>106</v>
      </c>
      <c r="B27">
        <v>28.046153846153842</v>
      </c>
      <c r="C27">
        <v>26.699999999999996</v>
      </c>
      <c r="D27">
        <v>45.838461538461537</v>
      </c>
      <c r="H27" s="4" t="s">
        <v>122</v>
      </c>
      <c r="I27">
        <v>282.29999999999995</v>
      </c>
      <c r="J27">
        <v>277.3</v>
      </c>
      <c r="L27" t="str">
        <v>Aug</v>
      </c>
      <c r="M27">
        <v>282.29999999999995</v>
      </c>
      <c r="N27">
        <v>277.3</v>
      </c>
    </row>
    <row r="28" spans="1:14" x14ac:dyDescent="0.25">
      <c r="A28" s="4" t="s">
        <v>72</v>
      </c>
      <c r="B28">
        <v>27.699999999999992</v>
      </c>
      <c r="C28">
        <v>26.3923076923077</v>
      </c>
      <c r="D28">
        <v>34.692307692307693</v>
      </c>
      <c r="H28" s="4" t="s">
        <v>123</v>
      </c>
      <c r="I28">
        <v>296.79999999999995</v>
      </c>
      <c r="J28">
        <v>269.7</v>
      </c>
      <c r="L28" t="str">
        <v>Sep</v>
      </c>
      <c r="M28">
        <v>296.79999999999995</v>
      </c>
      <c r="N28">
        <v>269.7</v>
      </c>
    </row>
    <row r="29" spans="1:14" x14ac:dyDescent="0.25">
      <c r="A29" s="4" t="s">
        <v>108</v>
      </c>
      <c r="B29">
        <v>28.752307692307689</v>
      </c>
      <c r="C29">
        <v>26.165384615384607</v>
      </c>
      <c r="D29">
        <v>39.561538461538461</v>
      </c>
      <c r="H29" s="4" t="s">
        <v>124</v>
      </c>
      <c r="I29">
        <v>272.70000000000005</v>
      </c>
      <c r="J29">
        <v>272.2</v>
      </c>
      <c r="L29" t="str">
        <v>Oct</v>
      </c>
      <c r="M29">
        <v>272.70000000000005</v>
      </c>
      <c r="N29">
        <v>272.2</v>
      </c>
    </row>
    <row r="30" spans="1:14" x14ac:dyDescent="0.25">
      <c r="H30" s="4" t="s">
        <v>125</v>
      </c>
      <c r="I30">
        <v>271.59999999999997</v>
      </c>
      <c r="J30">
        <v>239.6</v>
      </c>
      <c r="L30" t="str">
        <v>Nov</v>
      </c>
      <c r="M30">
        <v>271.59999999999997</v>
      </c>
      <c r="N30">
        <v>239.6</v>
      </c>
    </row>
    <row r="31" spans="1:14" x14ac:dyDescent="0.25">
      <c r="H31" s="4" t="s">
        <v>126</v>
      </c>
      <c r="I31">
        <v>300.2</v>
      </c>
      <c r="J31">
        <v>263.7</v>
      </c>
      <c r="L31" t="str">
        <v>Dec</v>
      </c>
      <c r="M31">
        <v>300.2</v>
      </c>
      <c r="N31">
        <v>263.7</v>
      </c>
    </row>
    <row r="32" spans="1:14" x14ac:dyDescent="0.25">
      <c r="H32" s="4" t="s">
        <v>108</v>
      </c>
      <c r="I32">
        <v>3737.7999999999997</v>
      </c>
      <c r="J32">
        <v>3401.4999999999995</v>
      </c>
    </row>
    <row r="51" spans="1:5" x14ac:dyDescent="0.25">
      <c r="A51" s="3" t="s">
        <v>149</v>
      </c>
    </row>
    <row r="52" spans="1:5" x14ac:dyDescent="0.25">
      <c r="A52" s="4" t="s">
        <v>133</v>
      </c>
      <c r="B52">
        <v>42.737692307692306</v>
      </c>
    </row>
    <row r="53" spans="1:5" x14ac:dyDescent="0.25">
      <c r="A53" s="4" t="s">
        <v>134</v>
      </c>
      <c r="B53">
        <v>57.262307692307708</v>
      </c>
    </row>
    <row r="56" spans="1:5" x14ac:dyDescent="0.25">
      <c r="A56" t="str" cm="1">
        <f t="array" ref="A56:B58">A51:B53</f>
        <v>Gender</v>
      </c>
      <c r="B56">
        <v>0</v>
      </c>
    </row>
    <row r="57" spans="1:5" x14ac:dyDescent="0.25">
      <c r="A57" t="str">
        <v>Male</v>
      </c>
      <c r="B57" s="7">
        <v>42.737692307692306</v>
      </c>
    </row>
    <row r="58" spans="1:5" x14ac:dyDescent="0.25">
      <c r="A58" t="str">
        <v>Female</v>
      </c>
      <c r="B58" s="7">
        <v>57.262307692307708</v>
      </c>
    </row>
    <row r="61" spans="1:5" x14ac:dyDescent="0.25">
      <c r="A61" t="s">
        <v>131</v>
      </c>
    </row>
    <row r="62" spans="1:5" x14ac:dyDescent="0.25">
      <c r="A62" s="3" t="s">
        <v>150</v>
      </c>
      <c r="D62" t="str" cm="1">
        <f t="array" ref="D62:E66">A62:B66</f>
        <v>Age Group</v>
      </c>
      <c r="E62">
        <v>0</v>
      </c>
    </row>
    <row r="63" spans="1:5" x14ac:dyDescent="0.25">
      <c r="A63" s="4" t="s">
        <v>145</v>
      </c>
      <c r="B63">
        <v>16.928461538461537</v>
      </c>
      <c r="D63" t="str">
        <v>Age range 18-29</v>
      </c>
      <c r="E63" s="7">
        <v>16.928461538461537</v>
      </c>
    </row>
    <row r="64" spans="1:5" x14ac:dyDescent="0.25">
      <c r="A64" s="4" t="s">
        <v>146</v>
      </c>
      <c r="B64">
        <v>33.013076923076923</v>
      </c>
      <c r="D64" t="str">
        <v>Age range 30-40</v>
      </c>
      <c r="E64" s="7">
        <v>33.013076923076923</v>
      </c>
    </row>
    <row r="65" spans="1:6" x14ac:dyDescent="0.25">
      <c r="A65" s="4" t="s">
        <v>147</v>
      </c>
      <c r="B65">
        <v>28.416153846153843</v>
      </c>
      <c r="D65" t="str">
        <v>Age range 45-59</v>
      </c>
      <c r="E65" s="7">
        <v>28.416153846153843</v>
      </c>
    </row>
    <row r="66" spans="1:6" x14ac:dyDescent="0.25">
      <c r="A66" s="4" t="s">
        <v>148</v>
      </c>
      <c r="B66">
        <v>21.643076923076926</v>
      </c>
      <c r="D66" t="str">
        <v>Age range 60+</v>
      </c>
      <c r="E66" s="7">
        <v>21.643076923076926</v>
      </c>
    </row>
    <row r="71" spans="1:6" x14ac:dyDescent="0.25">
      <c r="A71" s="6" t="s">
        <v>127</v>
      </c>
    </row>
    <row r="72" spans="1:6" x14ac:dyDescent="0.25">
      <c r="A72" s="3" t="s">
        <v>109</v>
      </c>
      <c r="B72" t="s">
        <v>142</v>
      </c>
      <c r="C72" t="s">
        <v>140</v>
      </c>
      <c r="D72" t="s">
        <v>141</v>
      </c>
      <c r="E72" t="s">
        <v>143</v>
      </c>
      <c r="F72" t="s">
        <v>144</v>
      </c>
    </row>
    <row r="73" spans="1:6" x14ac:dyDescent="0.25">
      <c r="A73" s="4" t="s">
        <v>50</v>
      </c>
      <c r="B73" s="7">
        <v>33.407692307692308</v>
      </c>
      <c r="C73" s="7">
        <v>30.061538461538468</v>
      </c>
      <c r="D73" s="7">
        <v>21.000000000000004</v>
      </c>
      <c r="E73" s="7">
        <v>11.115384615384617</v>
      </c>
      <c r="F73" s="7">
        <v>4.4230769230769234</v>
      </c>
    </row>
    <row r="74" spans="1:6" x14ac:dyDescent="0.25">
      <c r="A74" s="4" t="s">
        <v>71</v>
      </c>
      <c r="B74" s="7">
        <v>32.615384615384613</v>
      </c>
      <c r="C74" s="7">
        <v>29.338461538461534</v>
      </c>
      <c r="D74" s="7">
        <v>21.646153846153844</v>
      </c>
      <c r="E74" s="7">
        <v>12</v>
      </c>
      <c r="F74" s="7">
        <v>4.407692307692308</v>
      </c>
    </row>
    <row r="75" spans="1:6" x14ac:dyDescent="0.25">
      <c r="A75" s="4" t="s">
        <v>88</v>
      </c>
      <c r="B75" s="7">
        <v>33.11538461538462</v>
      </c>
      <c r="C75" s="7">
        <v>30.030769230769231</v>
      </c>
      <c r="D75" s="7">
        <v>21.338461538461537</v>
      </c>
      <c r="E75" s="7">
        <v>11.246153846153847</v>
      </c>
      <c r="F75" s="7">
        <v>4.2538461538461538</v>
      </c>
    </row>
    <row r="76" spans="1:6" x14ac:dyDescent="0.25">
      <c r="A76" s="4" t="s">
        <v>78</v>
      </c>
      <c r="B76" s="7">
        <v>32.746153846153838</v>
      </c>
      <c r="C76" s="7">
        <v>29.930769230769229</v>
      </c>
      <c r="D76" s="7">
        <v>21.538461538461533</v>
      </c>
      <c r="E76" s="7">
        <v>11.453846153846152</v>
      </c>
      <c r="F76" s="7">
        <v>4.3461538461538458</v>
      </c>
    </row>
    <row r="77" spans="1:6" x14ac:dyDescent="0.25">
      <c r="A77" s="4" t="s">
        <v>96</v>
      </c>
      <c r="B77" s="7">
        <v>32.738461538461536</v>
      </c>
      <c r="C77" s="7">
        <v>29.753846153846155</v>
      </c>
      <c r="D77" s="7">
        <v>21.569230769230771</v>
      </c>
      <c r="E77" s="7">
        <v>11.376923076923077</v>
      </c>
      <c r="F77" s="7">
        <v>4.569230769230769</v>
      </c>
    </row>
    <row r="78" spans="1:6" x14ac:dyDescent="0.25">
      <c r="A78" s="4" t="s">
        <v>100</v>
      </c>
      <c r="B78" s="7">
        <v>32.553846153846159</v>
      </c>
      <c r="C78" s="7">
        <v>29.569230769230771</v>
      </c>
      <c r="D78" s="7">
        <v>21.507692307692309</v>
      </c>
      <c r="E78" s="7">
        <v>11.907692307692308</v>
      </c>
      <c r="F78" s="7">
        <v>4.4615384615384617</v>
      </c>
    </row>
    <row r="79" spans="1:6" x14ac:dyDescent="0.25">
      <c r="A79" s="4" t="s">
        <v>102</v>
      </c>
      <c r="B79" s="7">
        <v>33.030769230769231</v>
      </c>
      <c r="C79" s="7">
        <v>29.638461538461534</v>
      </c>
      <c r="D79" s="7">
        <v>21.615384615384617</v>
      </c>
      <c r="E79" s="7">
        <v>11.038461538461538</v>
      </c>
      <c r="F79" s="7">
        <v>4.6846153846153848</v>
      </c>
    </row>
    <row r="80" spans="1:6" x14ac:dyDescent="0.25">
      <c r="A80" s="4" t="s">
        <v>83</v>
      </c>
      <c r="B80" s="7">
        <v>32.761538461538464</v>
      </c>
      <c r="C80" s="7">
        <v>29.046153846153842</v>
      </c>
      <c r="D80" s="7">
        <v>21.815384615384616</v>
      </c>
      <c r="E80" s="7">
        <v>11.969230769230769</v>
      </c>
      <c r="F80" s="7">
        <v>4.4153846153846157</v>
      </c>
    </row>
    <row r="81" spans="1:6" x14ac:dyDescent="0.25">
      <c r="A81" s="4" t="s">
        <v>92</v>
      </c>
      <c r="B81" s="7">
        <v>32.353846153846156</v>
      </c>
      <c r="C81" s="7">
        <v>30.653846153846153</v>
      </c>
      <c r="D81" s="7">
        <v>21.523076923076928</v>
      </c>
      <c r="E81" s="7">
        <v>10.692307692307692</v>
      </c>
      <c r="F81" s="7">
        <v>4.7692307692307692</v>
      </c>
    </row>
    <row r="82" spans="1:6" x14ac:dyDescent="0.25">
      <c r="A82" s="4" t="s">
        <v>105</v>
      </c>
      <c r="B82" s="7">
        <v>32.769230769230766</v>
      </c>
      <c r="C82" s="7">
        <v>28.96153846153846</v>
      </c>
      <c r="D82" s="7">
        <v>22.115384615384617</v>
      </c>
      <c r="E82" s="7">
        <v>11.584615384615384</v>
      </c>
      <c r="F82" s="7">
        <v>4.5923076923076929</v>
      </c>
    </row>
    <row r="83" spans="1:6" x14ac:dyDescent="0.25">
      <c r="A83" s="4" t="s">
        <v>108</v>
      </c>
      <c r="B83" s="7">
        <v>32.809230769230766</v>
      </c>
      <c r="C83" s="7">
        <v>29.69846153846154</v>
      </c>
      <c r="D83" s="7">
        <v>21.566923076923082</v>
      </c>
      <c r="E83" s="7">
        <v>11.438461538461539</v>
      </c>
      <c r="F83" s="7">
        <v>4.4923076923076923</v>
      </c>
    </row>
    <row r="86" spans="1:6" x14ac:dyDescent="0.25">
      <c r="A86" t="str" cm="1">
        <f t="array" ref="A86:F96">A72:F82</f>
        <v>Region</v>
      </c>
      <c r="B86" t="str">
        <v xml:space="preserve">Average Optimal Risk </v>
      </c>
      <c r="C86" t="str">
        <v>Average Normal Risk</v>
      </c>
      <c r="D86" t="str">
        <v>Average Risk Attention</v>
      </c>
      <c r="E86" t="str">
        <v xml:space="preserve">Average Elevated Risk </v>
      </c>
      <c r="F86" t="str">
        <v>Average Critical Risk</v>
      </c>
    </row>
    <row r="87" spans="1:6" x14ac:dyDescent="0.25">
      <c r="A87" t="str">
        <v>Belgium</v>
      </c>
      <c r="B87" s="7">
        <v>33.407692307692308</v>
      </c>
      <c r="C87" s="7">
        <v>30.061538461538468</v>
      </c>
      <c r="D87" s="7">
        <v>21.000000000000004</v>
      </c>
      <c r="E87" s="7">
        <v>11.115384615384617</v>
      </c>
      <c r="F87" s="7">
        <v>4.4230769230769234</v>
      </c>
    </row>
    <row r="88" spans="1:6" x14ac:dyDescent="0.25">
      <c r="A88" t="str">
        <v>Brazil</v>
      </c>
      <c r="B88" s="7">
        <v>32.615384615384613</v>
      </c>
      <c r="C88" s="7">
        <v>29.338461538461534</v>
      </c>
      <c r="D88" s="7">
        <v>21.646153846153844</v>
      </c>
      <c r="E88" s="7">
        <v>12</v>
      </c>
      <c r="F88" s="7">
        <v>4.407692307692308</v>
      </c>
    </row>
    <row r="89" spans="1:6" x14ac:dyDescent="0.25">
      <c r="A89" t="str">
        <v>France</v>
      </c>
      <c r="B89" s="7">
        <v>33.11538461538462</v>
      </c>
      <c r="C89" s="7">
        <v>30.030769230769231</v>
      </c>
      <c r="D89" s="7">
        <v>21.338461538461537</v>
      </c>
      <c r="E89" s="7">
        <v>11.246153846153847</v>
      </c>
      <c r="F89" s="7">
        <v>4.2538461538461538</v>
      </c>
    </row>
    <row r="90" spans="1:6" x14ac:dyDescent="0.25">
      <c r="A90" t="str">
        <v>Germany</v>
      </c>
      <c r="B90" s="7">
        <v>32.746153846153838</v>
      </c>
      <c r="C90" s="7">
        <v>29.930769230769229</v>
      </c>
      <c r="D90" s="7">
        <v>21.538461538461533</v>
      </c>
      <c r="E90" s="7">
        <v>11.453846153846152</v>
      </c>
      <c r="F90" s="7">
        <v>4.3461538461538458</v>
      </c>
    </row>
    <row r="91" spans="1:6" x14ac:dyDescent="0.25">
      <c r="A91" t="str">
        <v>Italy</v>
      </c>
      <c r="B91" s="7">
        <v>32.738461538461536</v>
      </c>
      <c r="C91" s="7">
        <v>29.753846153846155</v>
      </c>
      <c r="D91" s="7">
        <v>21.569230769230771</v>
      </c>
      <c r="E91" s="7">
        <v>11.376923076923077</v>
      </c>
      <c r="F91" s="7">
        <v>4.569230769230769</v>
      </c>
    </row>
    <row r="92" spans="1:6" x14ac:dyDescent="0.25">
      <c r="A92" t="str">
        <v>Netherlands</v>
      </c>
      <c r="B92" s="7">
        <v>32.553846153846159</v>
      </c>
      <c r="C92" s="7">
        <v>29.569230769230771</v>
      </c>
      <c r="D92" s="7">
        <v>21.507692307692309</v>
      </c>
      <c r="E92" s="7">
        <v>11.907692307692308</v>
      </c>
      <c r="F92" s="7">
        <v>4.4615384615384617</v>
      </c>
    </row>
    <row r="93" spans="1:6" x14ac:dyDescent="0.25">
      <c r="A93" t="str">
        <v>Portugal</v>
      </c>
      <c r="B93" s="7">
        <v>33.030769230769231</v>
      </c>
      <c r="C93" s="7">
        <v>29.638461538461534</v>
      </c>
      <c r="D93" s="7">
        <v>21.615384615384617</v>
      </c>
      <c r="E93" s="7">
        <v>11.038461538461538</v>
      </c>
      <c r="F93" s="7">
        <v>4.6846153846153848</v>
      </c>
    </row>
    <row r="94" spans="1:6" x14ac:dyDescent="0.25">
      <c r="A94" t="str">
        <v>Spain</v>
      </c>
      <c r="B94" s="7">
        <v>32.761538461538464</v>
      </c>
      <c r="C94" s="7">
        <v>29.046153846153842</v>
      </c>
      <c r="D94" s="7">
        <v>21.815384615384616</v>
      </c>
      <c r="E94" s="7">
        <v>11.969230769230769</v>
      </c>
      <c r="F94" s="7">
        <v>4.4153846153846157</v>
      </c>
    </row>
    <row r="95" spans="1:6" x14ac:dyDescent="0.25">
      <c r="A95" t="str">
        <v>United Kingdom</v>
      </c>
      <c r="B95" s="7">
        <v>32.353846153846156</v>
      </c>
      <c r="C95" s="7">
        <v>30.653846153846153</v>
      </c>
      <c r="D95" s="7">
        <v>21.523076923076928</v>
      </c>
      <c r="E95" s="7">
        <v>10.692307692307692</v>
      </c>
      <c r="F95" s="7">
        <v>4.7692307692307692</v>
      </c>
    </row>
    <row r="96" spans="1:6" x14ac:dyDescent="0.25">
      <c r="A96" t="str">
        <v>United States</v>
      </c>
      <c r="B96" s="7">
        <v>32.769230769230766</v>
      </c>
      <c r="C96" s="7">
        <v>28.96153846153846</v>
      </c>
      <c r="D96" s="7">
        <v>22.115384615384617</v>
      </c>
      <c r="E96" s="7">
        <v>11.584615384615384</v>
      </c>
      <c r="F96" s="7">
        <v>4.5923076923076929</v>
      </c>
    </row>
  </sheetData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C1F1-C5DE-4CE5-B72C-46F0BEF78F4E}">
  <dimension ref="A1"/>
  <sheetViews>
    <sheetView showGridLines="0" showRowColHeaders="0" workbookViewId="0">
      <selection activeCell="E14" sqref="E14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29D264-3D2C-4215-B282-DB431A6F1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kantesti_global_health_insights</vt:lpstr>
      <vt:lpstr>health</vt:lpstr>
      <vt:lpstr>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CHINAZAEKPERE IGWEGBE</cp:lastModifiedBy>
  <dcterms:created xsi:type="dcterms:W3CDTF">2026-02-19T22:40:09Z</dcterms:created>
  <dcterms:modified xsi:type="dcterms:W3CDTF">2026-02-19T22:40:17Z</dcterms:modified>
</cp:coreProperties>
</file>